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a2452cc6e9a9a6/Desktop/"/>
    </mc:Choice>
  </mc:AlternateContent>
  <xr:revisionPtr revIDLastSave="397" documentId="8_{A47D1D14-8615-4363-8C81-E5529180B7E8}" xr6:coauthVersionLast="47" xr6:coauthVersionMax="47" xr10:uidLastSave="{E9D35F56-2A7B-4221-8BD4-E2912A8EDA57}"/>
  <bookViews>
    <workbookView xWindow="-108" yWindow="-108" windowWidth="23256" windowHeight="12456" activeTab="2" xr2:uid="{82EAF63F-405B-44CD-BAE4-9014C81ECD51}"/>
  </bookViews>
  <sheets>
    <sheet name="dataset" sheetId="1" r:id="rId1"/>
    <sheet name="conditional aggregations" sheetId="2" r:id="rId2"/>
    <sheet name="index  match" sheetId="3" r:id="rId3"/>
    <sheet name="TEXT" sheetId="4" r:id="rId4"/>
    <sheet name="indirect  offset" sheetId="5" r:id="rId5"/>
    <sheet name="math function" sheetId="6" r:id="rId6"/>
    <sheet name="FILTER" sheetId="7" r:id="rId7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 a="1"/>
  <c r="J4" i="5" a="1"/>
  <c r="J5" i="5" a="1"/>
  <c r="J6" i="5" a="1"/>
  <c r="J7" i="5" a="1"/>
  <c r="J8" i="5" a="1"/>
  <c r="J9" i="5" a="1"/>
  <c r="J10" i="5" a="1"/>
  <c r="J11" i="5" a="1"/>
  <c r="J12" i="5" a="1"/>
  <c r="J13" i="5" a="1"/>
  <c r="J14" i="5" a="1"/>
  <c r="J15" i="5" a="1"/>
  <c r="J16" i="5" a="1"/>
  <c r="J17" i="5" a="1"/>
  <c r="J18" i="5" a="1"/>
  <c r="J19" i="5" a="1"/>
  <c r="J20" i="5" a="1"/>
  <c r="J21" i="5" a="1"/>
  <c r="J22" i="5" a="1"/>
  <c r="J23" i="5" a="1"/>
  <c r="J24" i="5" a="1"/>
  <c r="J25" i="5" a="1"/>
  <c r="J26" i="5" a="1"/>
  <c r="J27" i="5" a="1"/>
  <c r="J28" i="5" a="1"/>
  <c r="J29" i="5" a="1"/>
  <c r="J30" i="5" a="1"/>
  <c r="J2" i="5" a="1"/>
  <c r="Q2" i="7" a="1"/>
  <c r="I2" i="7" a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" i="6"/>
  <c r="I4" i="6"/>
  <c r="I5" i="6"/>
  <c r="I6" i="6"/>
  <c r="I7" i="6"/>
  <c r="I8" i="6"/>
  <c r="I2" i="6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" i="5"/>
  <c r="K2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" i="4"/>
  <c r="L4" i="4"/>
  <c r="L5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6" i="3"/>
  <c r="O7" i="3"/>
  <c r="O8" i="3"/>
  <c r="O9" i="3"/>
  <c r="O10" i="3"/>
  <c r="O11" i="3"/>
  <c r="O12" i="3"/>
  <c r="O5" i="3"/>
  <c r="O4" i="3"/>
  <c r="T13" i="2"/>
  <c r="T14" i="2"/>
  <c r="T15" i="2"/>
  <c r="T16" i="2"/>
  <c r="T17" i="2"/>
  <c r="T18" i="2"/>
  <c r="T19" i="2"/>
  <c r="T4" i="2"/>
  <c r="T5" i="2"/>
  <c r="T6" i="2"/>
  <c r="T7" i="2"/>
  <c r="T8" i="2"/>
  <c r="T9" i="2"/>
  <c r="T10" i="2"/>
  <c r="T11" i="2"/>
  <c r="T12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6" i="2"/>
  <c r="J7" i="2"/>
  <c r="J8" i="2"/>
  <c r="J9" i="2"/>
  <c r="J10" i="2"/>
  <c r="J4" i="2"/>
  <c r="J5" i="2"/>
  <c r="J3" i="2"/>
  <c r="O29" i="1"/>
  <c r="O30" i="1"/>
  <c r="O31" i="1"/>
  <c r="O32" i="1"/>
  <c r="O33" i="1"/>
  <c r="O34" i="1"/>
  <c r="O35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7" i="1"/>
  <c r="L13" i="2"/>
  <c r="L14" i="2"/>
  <c r="L4" i="2"/>
  <c r="L5" i="2"/>
  <c r="L6" i="2"/>
  <c r="L7" i="2"/>
  <c r="L8" i="2"/>
  <c r="L9" i="2"/>
  <c r="L10" i="2"/>
  <c r="L11" i="2"/>
  <c r="L12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" i="2"/>
  <c r="P3" i="2"/>
  <c r="P4" i="2"/>
  <c r="P5" i="2"/>
  <c r="P6" i="2"/>
  <c r="P7" i="2"/>
  <c r="P8" i="2"/>
  <c r="R32" i="2"/>
  <c r="R24" i="2"/>
  <c r="R25" i="2"/>
  <c r="R26" i="2"/>
  <c r="R27" i="2"/>
  <c r="R28" i="2"/>
  <c r="R29" i="2"/>
  <c r="R30" i="2"/>
  <c r="R31" i="2"/>
  <c r="R14" i="2"/>
  <c r="R15" i="2"/>
  <c r="R16" i="2"/>
  <c r="R17" i="2"/>
  <c r="R18" i="2"/>
  <c r="R19" i="2"/>
  <c r="R20" i="2"/>
  <c r="R21" i="2"/>
  <c r="R22" i="2"/>
  <c r="R23" i="2"/>
  <c r="R4" i="2"/>
  <c r="R5" i="2"/>
  <c r="R6" i="2"/>
  <c r="R7" i="2"/>
  <c r="R8" i="2"/>
  <c r="R9" i="2"/>
  <c r="R10" i="2"/>
  <c r="R11" i="2"/>
  <c r="R12" i="2"/>
  <c r="R13" i="2"/>
  <c r="R3" i="2"/>
  <c r="M5" i="3"/>
  <c r="K5" i="3" s="1" a="1"/>
  <c r="M6" i="3"/>
  <c r="K6" i="3" s="1" a="1"/>
  <c r="M7" i="3"/>
  <c r="K7" i="3" s="1" a="1"/>
  <c r="M8" i="3"/>
  <c r="K8" i="3" s="1" a="1"/>
  <c r="M9" i="3"/>
  <c r="K9" i="3" s="1" a="1"/>
  <c r="M10" i="3"/>
  <c r="K10" i="3" s="1" a="1"/>
  <c r="M11" i="3"/>
  <c r="K11" i="3" s="1" a="1"/>
  <c r="M12" i="3"/>
  <c r="K12" i="3" s="1" a="1"/>
  <c r="M13" i="3"/>
  <c r="K13" i="3" s="1" a="1"/>
  <c r="M14" i="3"/>
  <c r="K14" i="3" s="1" a="1"/>
  <c r="M15" i="3"/>
  <c r="K15" i="3" s="1" a="1"/>
  <c r="M16" i="3"/>
  <c r="K16" i="3" s="1" a="1"/>
  <c r="M17" i="3"/>
  <c r="K17" i="3" s="1" a="1"/>
  <c r="M18" i="3"/>
  <c r="K18" i="3" s="1" a="1"/>
  <c r="M19" i="3"/>
  <c r="K19" i="3" s="1" a="1"/>
  <c r="M20" i="3"/>
  <c r="K20" i="3" s="1" a="1"/>
  <c r="M21" i="3"/>
  <c r="K21" i="3" s="1" a="1"/>
  <c r="M22" i="3"/>
  <c r="K22" i="3" s="1" a="1"/>
  <c r="M23" i="3"/>
  <c r="K23" i="3" s="1" a="1"/>
  <c r="M24" i="3"/>
  <c r="K24" i="3" s="1" a="1"/>
  <c r="M25" i="3"/>
  <c r="K25" i="3" s="1" a="1"/>
  <c r="M26" i="3"/>
  <c r="K26" i="3" s="1" a="1"/>
  <c r="M27" i="3"/>
  <c r="K27" i="3" s="1" a="1"/>
  <c r="M28" i="3"/>
  <c r="K28" i="3" s="1" a="1"/>
  <c r="M29" i="3"/>
  <c r="K29" i="3" s="1" a="1"/>
  <c r="M30" i="3"/>
  <c r="K30" i="3" s="1" a="1"/>
  <c r="M31" i="3"/>
  <c r="K31" i="3" s="1" a="1"/>
  <c r="M32" i="3"/>
  <c r="K32" i="3" s="1" a="1"/>
  <c r="M33" i="3"/>
  <c r="K33" i="3" s="1" a="1"/>
  <c r="M4" i="3"/>
  <c r="K4" i="3" s="1" a="1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" i="2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<sst xmlns="http://schemas.openxmlformats.org/spreadsheetml/2006/main" count="914" uniqueCount="152">
  <si>
    <t xml:space="preserve">PROJECT  :- 1   FUNDAMENTAL   BOOSTER </t>
  </si>
  <si>
    <t>Company Name</t>
  </si>
  <si>
    <t>Sales (₹)</t>
  </si>
  <si>
    <t>Products</t>
  </si>
  <si>
    <t>Employee Name</t>
  </si>
  <si>
    <t>Employee Salary (₹)</t>
  </si>
  <si>
    <t>Employee ID</t>
  </si>
  <si>
    <t>Tata Motors</t>
  </si>
  <si>
    <t>Cars</t>
  </si>
  <si>
    <t>Rahul Sharma</t>
  </si>
  <si>
    <t>EMP101</t>
  </si>
  <si>
    <t>Reliance Industries</t>
  </si>
  <si>
    <t>Electronics</t>
  </si>
  <si>
    <t>Amit Verma</t>
  </si>
  <si>
    <t>EMP102</t>
  </si>
  <si>
    <t>Infosys</t>
  </si>
  <si>
    <t>Software</t>
  </si>
  <si>
    <t>Priya Singh</t>
  </si>
  <si>
    <t>EMP103</t>
  </si>
  <si>
    <t>Wipro</t>
  </si>
  <si>
    <t>Computers</t>
  </si>
  <si>
    <t>Rohit Kumar</t>
  </si>
  <si>
    <t>EMP104</t>
  </si>
  <si>
    <t>HDFC Bank</t>
  </si>
  <si>
    <t>Banking Services</t>
  </si>
  <si>
    <t>Neha Patel</t>
  </si>
  <si>
    <t>EMP105</t>
  </si>
  <si>
    <t>Mahindra</t>
  </si>
  <si>
    <t>SUVs</t>
  </si>
  <si>
    <t>Karan Mehta</t>
  </si>
  <si>
    <t>EMP106</t>
  </si>
  <si>
    <t>ITC Limited</t>
  </si>
  <si>
    <t>Food Products</t>
  </si>
  <si>
    <t>Anjali Gupta</t>
  </si>
  <si>
    <t>EMP107</t>
  </si>
  <si>
    <t>Asian Paints</t>
  </si>
  <si>
    <t>Paints</t>
  </si>
  <si>
    <t>Vikas Yadav</t>
  </si>
  <si>
    <t>EMP108</t>
  </si>
  <si>
    <t>Maruti Suzuki</t>
  </si>
  <si>
    <t>Sneha Joshi</t>
  </si>
  <si>
    <t>EMP109</t>
  </si>
  <si>
    <t>Hindustan Unilever</t>
  </si>
  <si>
    <t>FMCG</t>
  </si>
  <si>
    <t>Arjun Malhotra</t>
  </si>
  <si>
    <t>EMP110</t>
  </si>
  <si>
    <t>Bharti Airtel</t>
  </si>
  <si>
    <t>Telecom</t>
  </si>
  <si>
    <t>Pooja Shah</t>
  </si>
  <si>
    <t>EMP111</t>
  </si>
  <si>
    <t>Bajaj Finance</t>
  </si>
  <si>
    <t>Financial Services</t>
  </si>
  <si>
    <t>Deepak Mishra</t>
  </si>
  <si>
    <t>EMP112</t>
  </si>
  <si>
    <t>Larsen &amp; Toubro</t>
  </si>
  <si>
    <t>Construction</t>
  </si>
  <si>
    <t>Simran Kaur</t>
  </si>
  <si>
    <t>EMP113</t>
  </si>
  <si>
    <t>Adani Enterprises</t>
  </si>
  <si>
    <t>Infrastructure</t>
  </si>
  <si>
    <t>Manish Jain</t>
  </si>
  <si>
    <t>EMP114</t>
  </si>
  <si>
    <t>Tech Mahindra</t>
  </si>
  <si>
    <t>IT Services</t>
  </si>
  <si>
    <t>Kavita Rao</t>
  </si>
  <si>
    <t>EMP115</t>
  </si>
  <si>
    <t>Zomato</t>
  </si>
  <si>
    <t>Food Delivery</t>
  </si>
  <si>
    <t>Nikhil Das</t>
  </si>
  <si>
    <t>EMP116</t>
  </si>
  <si>
    <t>Swiggy</t>
  </si>
  <si>
    <t>Riya Kapoor</t>
  </si>
  <si>
    <t>EMP117</t>
  </si>
  <si>
    <t>Flipkart</t>
  </si>
  <si>
    <t>E-commerce</t>
  </si>
  <si>
    <t>Varun Sethi</t>
  </si>
  <si>
    <t>EMP118</t>
  </si>
  <si>
    <t>Amazon India</t>
  </si>
  <si>
    <t>Online Retail</t>
  </si>
  <si>
    <t>Tanya Roy</t>
  </si>
  <si>
    <t>EMP119</t>
  </si>
  <si>
    <t>Samsung India</t>
  </si>
  <si>
    <t>Smartphones</t>
  </si>
  <si>
    <t>Akash Thakur</t>
  </si>
  <si>
    <t>EMP120</t>
  </si>
  <si>
    <t>Apple India</t>
  </si>
  <si>
    <t>Meera Nair</t>
  </si>
  <si>
    <t>EMP121</t>
  </si>
  <si>
    <t>Hero MotoCorp</t>
  </si>
  <si>
    <t>Motorcycles</t>
  </si>
  <si>
    <t>Saurabh Jain</t>
  </si>
  <si>
    <t>EMP122</t>
  </si>
  <si>
    <t>TVS Motors</t>
  </si>
  <si>
    <t>Scooters</t>
  </si>
  <si>
    <t>Divya Sharma</t>
  </si>
  <si>
    <t>EMP123</t>
  </si>
  <si>
    <t>Godrej Industries</t>
  </si>
  <si>
    <t>Home Appliances</t>
  </si>
  <si>
    <t>Mohit Agarwal</t>
  </si>
  <si>
    <t>EMP124</t>
  </si>
  <si>
    <t>Britannia</t>
  </si>
  <si>
    <t>Biscuits</t>
  </si>
  <si>
    <t>Shreya Ghosh</t>
  </si>
  <si>
    <t>EMP125</t>
  </si>
  <si>
    <t>Nestlé India</t>
  </si>
  <si>
    <t>Abhishek Roy</t>
  </si>
  <si>
    <t>EMP126</t>
  </si>
  <si>
    <t>Paytm</t>
  </si>
  <si>
    <t>Digital Payments</t>
  </si>
  <si>
    <t>Komal Verma</t>
  </si>
  <si>
    <t>EMP127</t>
  </si>
  <si>
    <t>PhonePe</t>
  </si>
  <si>
    <t>Yash Patel</t>
  </si>
  <si>
    <t>EMP128</t>
  </si>
  <si>
    <t>Indigo Airlines</t>
  </si>
  <si>
    <t>Air Travel</t>
  </si>
  <si>
    <t>Isha Malhotra</t>
  </si>
  <si>
    <t>EMP129</t>
  </si>
  <si>
    <t>UltraTech Cement</t>
  </si>
  <si>
    <t>Cement</t>
  </si>
  <si>
    <t>Gaurav Singh</t>
  </si>
  <si>
    <t>EMP130</t>
  </si>
  <si>
    <t>IF USE</t>
  </si>
  <si>
    <t xml:space="preserve">if , AND </t>
  </si>
  <si>
    <t xml:space="preserve">IF , OR </t>
  </si>
  <si>
    <t>COUNTIFS</t>
  </si>
  <si>
    <t>NESTED IF</t>
  </si>
  <si>
    <t>SUMIFS</t>
  </si>
  <si>
    <t>AVERAGEIFS</t>
  </si>
  <si>
    <t>COUNTIF</t>
  </si>
  <si>
    <t>VLOOK UP</t>
  </si>
  <si>
    <t>XLOOK UP</t>
  </si>
  <si>
    <t>X MATCH</t>
  </si>
  <si>
    <t>INDEX</t>
  </si>
  <si>
    <t>MATCH</t>
  </si>
  <si>
    <t>INDEX + MATCH</t>
  </si>
  <si>
    <t>LEFT</t>
  </si>
  <si>
    <t>RIGHT</t>
  </si>
  <si>
    <t>MID</t>
  </si>
  <si>
    <t>LENGTH</t>
  </si>
  <si>
    <t>UPPER</t>
  </si>
  <si>
    <t>PROPER</t>
  </si>
  <si>
    <t>TRIM</t>
  </si>
  <si>
    <t>INDIRECT</t>
  </si>
  <si>
    <t>OFFSET</t>
  </si>
  <si>
    <t>SUM</t>
  </si>
  <si>
    <t>AVERAGE</t>
  </si>
  <si>
    <t>MAX</t>
  </si>
  <si>
    <t>MIN</t>
  </si>
  <si>
    <t>ROUND</t>
  </si>
  <si>
    <t>F   I  L  T  E  R</t>
  </si>
  <si>
    <t>F  I   L   T   E  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</si>
</sst>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1"/>
      <name val="Arial Black"/>
      <family val="2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3" fillId="6" borderId="4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0" xfId="0" applyFont="1"/>
    <xf numFmtId="0" fontId="0" fillId="4" borderId="0" xfId="0" applyFill="1" applyAlignment="1">
      <alignment horizontal="center"/>
    </xf>
    <xf numFmtId="0" fontId="3" fillId="6" borderId="0" xfId="0" applyFont="1" applyFill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ADF6D6-D4FB-47F2-9D7B-C4EA7323F6CD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E6D3-E56B-409B-BD38-B27F7A367263}">
  <dimension ref="B2:Q36"/>
  <sheetViews>
    <sheetView topLeftCell="A12" zoomScale="80" zoomScaleNormal="128" workbookViewId="0">
      <selection activeCell="M2" sqref="M2"/>
    </sheetView>
  </sheetViews>
  <sheetFormatPr defaultRowHeight="14.4" x14ac:dyDescent="0.3"/>
  <cols>
    <col min="1" max="1" width="0.6640625" customWidth="1"/>
    <col min="2" max="2" width="16.109375" customWidth="1"/>
    <col min="3" max="3" width="13.21875" customWidth="1"/>
    <col min="4" max="4" width="15.109375" customWidth="1"/>
    <col min="5" max="5" width="16.44140625" customWidth="1"/>
    <col min="6" max="6" width="19.33203125" customWidth="1"/>
    <col min="7" max="7" width="13.21875" customWidth="1"/>
    <col min="10" max="10" width="9.109375" customWidth="1"/>
    <col min="11" max="11" width="10.33203125" customWidth="1"/>
    <col min="13" max="13" width="11.77734375" customWidth="1"/>
    <col min="15" max="15" width="9.88671875" customWidth="1"/>
  </cols>
  <sheetData>
    <row r="2" spans="2:17" ht="27.6" x14ac:dyDescent="0.65">
      <c r="B2" s="1" t="s">
        <v>0</v>
      </c>
      <c r="C2" s="1"/>
      <c r="D2" s="1"/>
      <c r="E2" s="1"/>
      <c r="F2" s="2"/>
      <c r="G2" s="2"/>
      <c r="H2" s="2"/>
      <c r="J2" s="4"/>
      <c r="K2" s="4"/>
    </row>
    <row r="4" spans="2:17" ht="15.6" x14ac:dyDescent="0.3">
      <c r="J4" s="5" t="s">
        <v>122</v>
      </c>
      <c r="K4" s="6" t="s">
        <v>123</v>
      </c>
      <c r="M4" s="6" t="s">
        <v>124</v>
      </c>
      <c r="O4" s="6" t="s">
        <v>125</v>
      </c>
      <c r="Q4" s="6" t="s">
        <v>126</v>
      </c>
    </row>
    <row r="5" spans="2:17" x14ac:dyDescent="0.3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8" t="s">
        <v>6</v>
      </c>
    </row>
    <row r="6" spans="2:17" ht="15.6" x14ac:dyDescent="0.3">
      <c r="B6" s="9" t="s">
        <v>7</v>
      </c>
      <c r="C6" s="9">
        <v>850000</v>
      </c>
      <c r="D6" s="9" t="s">
        <v>8</v>
      </c>
      <c r="E6" s="9" t="s">
        <v>9</v>
      </c>
      <c r="F6" s="9">
        <v>45000</v>
      </c>
      <c r="G6" s="10" t="s">
        <v>10</v>
      </c>
      <c r="M6" s="15"/>
    </row>
    <row r="7" spans="2:17" ht="13.8" customHeight="1" x14ac:dyDescent="0.3">
      <c r="B7" s="11" t="s">
        <v>11</v>
      </c>
      <c r="C7" s="11">
        <v>1250000</v>
      </c>
      <c r="D7" s="11" t="s">
        <v>12</v>
      </c>
      <c r="E7" s="11" t="s">
        <v>13</v>
      </c>
      <c r="F7" s="11">
        <v>65000</v>
      </c>
      <c r="G7" s="12" t="s">
        <v>14</v>
      </c>
      <c r="J7" t="str">
        <f>IF(C6&gt;=1000000, "Pass", "Fail")</f>
        <v>Fail</v>
      </c>
      <c r="K7" t="str">
        <f>IF(AND(C6&gt;=10000,F6&gt;=720000),"Eligible","Not Eligible")</f>
        <v>Not Eligible</v>
      </c>
      <c r="M7" s="15" t="str">
        <f t="shared" ref="M7:M35" si="0">IF(OR(A3="Tata Motors",A3="Reliance Industries"), "TopTier", "Standard")</f>
        <v>Standard</v>
      </c>
      <c r="O7">
        <f>COUNTIFS(C2:C31,"&gt;1000000",F2:F31,"&gt;50000")</f>
        <v>10</v>
      </c>
      <c r="Q7" t="str">
        <f>IF(E2&gt;=70000, "Grade A", IF(E2&gt;=50000, "Grade B", "Grade C"))</f>
        <v>Grade C</v>
      </c>
    </row>
    <row r="8" spans="2:17" ht="15.6" x14ac:dyDescent="0.3">
      <c r="B8" s="9" t="s">
        <v>15</v>
      </c>
      <c r="C8" s="9">
        <v>950000</v>
      </c>
      <c r="D8" s="9" t="s">
        <v>16</v>
      </c>
      <c r="E8" s="9" t="s">
        <v>17</v>
      </c>
      <c r="F8" s="9">
        <v>55000</v>
      </c>
      <c r="G8" s="10" t="s">
        <v>18</v>
      </c>
      <c r="J8" t="str">
        <f t="shared" ref="J8:J35" si="1">IF(C7&gt;=1000000, "Pass", "Fail")</f>
        <v>Pass</v>
      </c>
      <c r="K8" t="str">
        <f t="shared" ref="K8:K16" si="2">IF(AND(C7&gt;=100000,F7&gt;=720000),"Eligible","Not Eligible")</f>
        <v>Not Eligible</v>
      </c>
      <c r="M8" s="15" t="str">
        <f t="shared" si="0"/>
        <v>Standard</v>
      </c>
      <c r="O8">
        <f t="shared" ref="O8:O35" si="3">COUNTIFS(C3:C32,"&gt;1000000",F3:F32,"&gt;50000")</f>
        <v>10</v>
      </c>
      <c r="Q8" t="str">
        <f t="shared" ref="Q8:Q35" si="4">IF(E3&gt;=70000, "Grade A", IF(E3&gt;=50000, "Grade B", "Grade C"))</f>
        <v>Grade C</v>
      </c>
    </row>
    <row r="9" spans="2:17" ht="15.6" x14ac:dyDescent="0.3">
      <c r="B9" s="11" t="s">
        <v>19</v>
      </c>
      <c r="C9" s="11">
        <v>780000</v>
      </c>
      <c r="D9" s="11" t="s">
        <v>20</v>
      </c>
      <c r="E9" s="11" t="s">
        <v>21</v>
      </c>
      <c r="F9" s="11">
        <v>48000</v>
      </c>
      <c r="G9" s="12" t="s">
        <v>22</v>
      </c>
      <c r="J9" t="str">
        <f t="shared" si="1"/>
        <v>Fail</v>
      </c>
      <c r="K9" t="str">
        <f t="shared" si="2"/>
        <v>Not Eligible</v>
      </c>
      <c r="M9" s="15" t="str">
        <f t="shared" si="0"/>
        <v>Standard</v>
      </c>
      <c r="O9">
        <f t="shared" si="3"/>
        <v>10</v>
      </c>
      <c r="Q9" t="str">
        <f t="shared" si="4"/>
        <v>Grade C</v>
      </c>
    </row>
    <row r="10" spans="2:17" ht="15" customHeight="1" x14ac:dyDescent="0.3">
      <c r="B10" s="9" t="s">
        <v>23</v>
      </c>
      <c r="C10" s="9">
        <v>1100000</v>
      </c>
      <c r="D10" s="9" t="s">
        <v>24</v>
      </c>
      <c r="E10" s="9" t="s">
        <v>25</v>
      </c>
      <c r="F10" s="9">
        <v>60000</v>
      </c>
      <c r="G10" s="10" t="s">
        <v>26</v>
      </c>
      <c r="J10" t="str">
        <f t="shared" si="1"/>
        <v>Fail</v>
      </c>
      <c r="K10" t="str">
        <f t="shared" si="2"/>
        <v>Not Eligible</v>
      </c>
      <c r="M10" s="15" t="str">
        <f t="shared" si="0"/>
        <v>Standard</v>
      </c>
      <c r="O10">
        <f t="shared" si="3"/>
        <v>11</v>
      </c>
      <c r="Q10" t="str">
        <f t="shared" si="4"/>
        <v>Grade A</v>
      </c>
    </row>
    <row r="11" spans="2:17" ht="15.6" x14ac:dyDescent="0.3">
      <c r="B11" s="11" t="s">
        <v>27</v>
      </c>
      <c r="C11" s="11">
        <v>920000</v>
      </c>
      <c r="D11" s="11" t="s">
        <v>28</v>
      </c>
      <c r="E11" s="11" t="s">
        <v>29</v>
      </c>
      <c r="F11" s="11">
        <v>52000</v>
      </c>
      <c r="G11" s="12" t="s">
        <v>30</v>
      </c>
      <c r="J11" t="str">
        <f t="shared" si="1"/>
        <v>Pass</v>
      </c>
      <c r="K11" t="str">
        <f t="shared" si="2"/>
        <v>Not Eligible</v>
      </c>
      <c r="M11" s="15" t="str">
        <f t="shared" si="0"/>
        <v>Standard</v>
      </c>
      <c r="O11">
        <f t="shared" si="3"/>
        <v>12</v>
      </c>
      <c r="Q11" t="str">
        <f t="shared" si="4"/>
        <v>Grade A</v>
      </c>
    </row>
    <row r="12" spans="2:17" ht="20.399999999999999" customHeight="1" x14ac:dyDescent="0.3">
      <c r="B12" s="9" t="s">
        <v>31</v>
      </c>
      <c r="C12" s="9">
        <v>680000</v>
      </c>
      <c r="D12" s="9" t="s">
        <v>32</v>
      </c>
      <c r="E12" s="9" t="s">
        <v>33</v>
      </c>
      <c r="F12" s="9">
        <v>42000</v>
      </c>
      <c r="G12" s="10" t="s">
        <v>34</v>
      </c>
      <c r="J12" t="str">
        <f t="shared" si="1"/>
        <v>Fail</v>
      </c>
      <c r="K12" t="str">
        <f t="shared" si="2"/>
        <v>Not Eligible</v>
      </c>
      <c r="M12" s="15" t="str">
        <f t="shared" si="0"/>
        <v>Standard</v>
      </c>
      <c r="O12">
        <f t="shared" si="3"/>
        <v>12</v>
      </c>
      <c r="Q12" t="str">
        <f t="shared" si="4"/>
        <v>Grade A</v>
      </c>
    </row>
    <row r="13" spans="2:17" ht="15.6" x14ac:dyDescent="0.3">
      <c r="B13" s="11" t="s">
        <v>35</v>
      </c>
      <c r="C13" s="11">
        <v>720000</v>
      </c>
      <c r="D13" s="11" t="s">
        <v>36</v>
      </c>
      <c r="E13" s="11" t="s">
        <v>37</v>
      </c>
      <c r="F13" s="11">
        <v>46000</v>
      </c>
      <c r="G13" s="12" t="s">
        <v>38</v>
      </c>
      <c r="J13" t="str">
        <f t="shared" si="1"/>
        <v>Fail</v>
      </c>
      <c r="K13" t="str">
        <f t="shared" si="2"/>
        <v>Not Eligible</v>
      </c>
      <c r="M13" s="15" t="str">
        <f t="shared" si="0"/>
        <v>Standard</v>
      </c>
      <c r="O13">
        <f t="shared" si="3"/>
        <v>11</v>
      </c>
      <c r="Q13" t="str">
        <f t="shared" si="4"/>
        <v>Grade A</v>
      </c>
    </row>
    <row r="14" spans="2:17" ht="15.6" x14ac:dyDescent="0.3">
      <c r="B14" s="9" t="s">
        <v>39</v>
      </c>
      <c r="C14" s="9">
        <v>1350000</v>
      </c>
      <c r="D14" s="9" t="s">
        <v>8</v>
      </c>
      <c r="E14" s="9" t="s">
        <v>40</v>
      </c>
      <c r="F14" s="9">
        <v>70000</v>
      </c>
      <c r="G14" s="10" t="s">
        <v>41</v>
      </c>
      <c r="J14" t="str">
        <f t="shared" si="1"/>
        <v>Fail</v>
      </c>
      <c r="K14" t="str">
        <f t="shared" si="2"/>
        <v>Not Eligible</v>
      </c>
      <c r="M14" s="15" t="str">
        <f t="shared" si="0"/>
        <v>Standard</v>
      </c>
      <c r="O14">
        <f t="shared" si="3"/>
        <v>11</v>
      </c>
      <c r="Q14" t="str">
        <f t="shared" si="4"/>
        <v>Grade A</v>
      </c>
    </row>
    <row r="15" spans="2:17" ht="28.8" x14ac:dyDescent="0.3">
      <c r="B15" s="11" t="s">
        <v>42</v>
      </c>
      <c r="C15" s="11">
        <v>1050000</v>
      </c>
      <c r="D15" s="11" t="s">
        <v>43</v>
      </c>
      <c r="E15" s="11" t="s">
        <v>44</v>
      </c>
      <c r="F15" s="11">
        <v>58000</v>
      </c>
      <c r="G15" s="12" t="s">
        <v>45</v>
      </c>
      <c r="J15" t="str">
        <f t="shared" si="1"/>
        <v>Pass</v>
      </c>
      <c r="K15" t="str">
        <f t="shared" si="2"/>
        <v>Not Eligible</v>
      </c>
      <c r="M15" s="15" t="str">
        <f t="shared" si="0"/>
        <v>Standard</v>
      </c>
      <c r="O15">
        <f t="shared" si="3"/>
        <v>11</v>
      </c>
      <c r="Q15" t="str">
        <f t="shared" si="4"/>
        <v>Grade A</v>
      </c>
    </row>
    <row r="16" spans="2:17" ht="15.6" x14ac:dyDescent="0.3">
      <c r="B16" s="9" t="s">
        <v>46</v>
      </c>
      <c r="C16" s="9">
        <v>890000</v>
      </c>
      <c r="D16" s="9" t="s">
        <v>47</v>
      </c>
      <c r="E16" s="9" t="s">
        <v>48</v>
      </c>
      <c r="F16" s="9">
        <v>51000</v>
      </c>
      <c r="G16" s="10" t="s">
        <v>49</v>
      </c>
      <c r="J16" t="str">
        <f t="shared" si="1"/>
        <v>Pass</v>
      </c>
      <c r="K16" t="str">
        <f t="shared" si="2"/>
        <v>Not Eligible</v>
      </c>
      <c r="M16" s="15" t="str">
        <f t="shared" si="0"/>
        <v>Standard</v>
      </c>
      <c r="O16">
        <f t="shared" si="3"/>
        <v>10</v>
      </c>
      <c r="Q16" t="str">
        <f t="shared" si="4"/>
        <v>Grade A</v>
      </c>
    </row>
    <row r="17" spans="2:17" ht="28.8" x14ac:dyDescent="0.3">
      <c r="B17" s="11" t="s">
        <v>50</v>
      </c>
      <c r="C17" s="11">
        <v>980000</v>
      </c>
      <c r="D17" s="11" t="s">
        <v>51</v>
      </c>
      <c r="E17" s="11" t="s">
        <v>52</v>
      </c>
      <c r="F17" s="11">
        <v>62000</v>
      </c>
      <c r="G17" s="12" t="s">
        <v>53</v>
      </c>
      <c r="J17" t="str">
        <f t="shared" si="1"/>
        <v>Fail</v>
      </c>
      <c r="K17" t="str">
        <f t="shared" ref="K17:K35" si="5">IF(AND(C16&gt;=1000000,F16&gt;=720000),"Eligible","Not Eligible")</f>
        <v>Not Eligible</v>
      </c>
      <c r="M17" s="15" t="str">
        <f t="shared" si="0"/>
        <v>Standard</v>
      </c>
      <c r="O17">
        <f t="shared" si="3"/>
        <v>10</v>
      </c>
      <c r="Q17" t="str">
        <f t="shared" si="4"/>
        <v>Grade A</v>
      </c>
    </row>
    <row r="18" spans="2:17" ht="15.6" x14ac:dyDescent="0.3">
      <c r="B18" s="9" t="s">
        <v>54</v>
      </c>
      <c r="C18" s="9">
        <v>1150000</v>
      </c>
      <c r="D18" s="9" t="s">
        <v>55</v>
      </c>
      <c r="E18" s="9" t="s">
        <v>56</v>
      </c>
      <c r="F18" s="9">
        <v>57000</v>
      </c>
      <c r="G18" s="10" t="s">
        <v>57</v>
      </c>
      <c r="J18" t="str">
        <f t="shared" si="1"/>
        <v>Fail</v>
      </c>
      <c r="K18" t="str">
        <f t="shared" si="5"/>
        <v>Not Eligible</v>
      </c>
      <c r="M18" s="15" t="str">
        <f t="shared" si="0"/>
        <v>Standard</v>
      </c>
      <c r="O18">
        <f t="shared" si="3"/>
        <v>10</v>
      </c>
      <c r="Q18" t="str">
        <f t="shared" si="4"/>
        <v>Grade A</v>
      </c>
    </row>
    <row r="19" spans="2:17" ht="28.8" x14ac:dyDescent="0.3">
      <c r="B19" s="11" t="s">
        <v>58</v>
      </c>
      <c r="C19" s="11">
        <v>1450000</v>
      </c>
      <c r="D19" s="11" t="s">
        <v>59</v>
      </c>
      <c r="E19" s="11" t="s">
        <v>60</v>
      </c>
      <c r="F19" s="11">
        <v>75000</v>
      </c>
      <c r="G19" s="12" t="s">
        <v>61</v>
      </c>
      <c r="J19" t="str">
        <f t="shared" si="1"/>
        <v>Pass</v>
      </c>
      <c r="K19" t="str">
        <f t="shared" si="5"/>
        <v>Not Eligible</v>
      </c>
      <c r="M19" s="15" t="str">
        <f t="shared" si="0"/>
        <v>Standard</v>
      </c>
      <c r="O19">
        <f t="shared" si="3"/>
        <v>10</v>
      </c>
      <c r="Q19" t="str">
        <f t="shared" si="4"/>
        <v>Grade A</v>
      </c>
    </row>
    <row r="20" spans="2:17" ht="15.6" x14ac:dyDescent="0.3">
      <c r="B20" s="9" t="s">
        <v>62</v>
      </c>
      <c r="C20" s="9">
        <v>820000</v>
      </c>
      <c r="D20" s="9" t="s">
        <v>63</v>
      </c>
      <c r="E20" s="9" t="s">
        <v>64</v>
      </c>
      <c r="F20" s="9">
        <v>49000</v>
      </c>
      <c r="G20" s="10" t="s">
        <v>65</v>
      </c>
      <c r="J20" t="str">
        <f t="shared" si="1"/>
        <v>Pass</v>
      </c>
      <c r="K20" t="str">
        <f t="shared" si="5"/>
        <v>Not Eligible</v>
      </c>
      <c r="M20" s="15" t="str">
        <f t="shared" si="0"/>
        <v>Standard</v>
      </c>
      <c r="O20">
        <f t="shared" si="3"/>
        <v>9</v>
      </c>
      <c r="Q20" t="str">
        <f t="shared" si="4"/>
        <v>Grade A</v>
      </c>
    </row>
    <row r="21" spans="2:17" ht="15.6" x14ac:dyDescent="0.3">
      <c r="B21" s="11" t="s">
        <v>66</v>
      </c>
      <c r="C21" s="11">
        <v>650000</v>
      </c>
      <c r="D21" s="11" t="s">
        <v>67</v>
      </c>
      <c r="E21" s="11" t="s">
        <v>68</v>
      </c>
      <c r="F21" s="11">
        <v>40000</v>
      </c>
      <c r="G21" s="12" t="s">
        <v>69</v>
      </c>
      <c r="J21" t="str">
        <f t="shared" si="1"/>
        <v>Fail</v>
      </c>
      <c r="K21" t="str">
        <f t="shared" si="5"/>
        <v>Not Eligible</v>
      </c>
      <c r="M21" s="15" t="str">
        <f t="shared" si="0"/>
        <v>Standard</v>
      </c>
      <c r="O21">
        <f t="shared" si="3"/>
        <v>8</v>
      </c>
      <c r="Q21" t="str">
        <f t="shared" si="4"/>
        <v>Grade A</v>
      </c>
    </row>
    <row r="22" spans="2:17" ht="15.6" x14ac:dyDescent="0.3">
      <c r="B22" s="9" t="s">
        <v>70</v>
      </c>
      <c r="C22" s="9">
        <v>710000</v>
      </c>
      <c r="D22" s="9" t="s">
        <v>67</v>
      </c>
      <c r="E22" s="9" t="s">
        <v>71</v>
      </c>
      <c r="F22" s="9">
        <v>43000</v>
      </c>
      <c r="G22" s="10" t="s">
        <v>72</v>
      </c>
      <c r="J22" t="str">
        <f t="shared" si="1"/>
        <v>Fail</v>
      </c>
      <c r="K22" t="str">
        <f t="shared" si="5"/>
        <v>Not Eligible</v>
      </c>
      <c r="M22" s="15" t="str">
        <f t="shared" si="0"/>
        <v>Standard</v>
      </c>
      <c r="O22">
        <f t="shared" si="3"/>
        <v>8</v>
      </c>
      <c r="Q22" t="str">
        <f t="shared" si="4"/>
        <v>Grade A</v>
      </c>
    </row>
    <row r="23" spans="2:17" ht="15.6" x14ac:dyDescent="0.3">
      <c r="B23" s="11" t="s">
        <v>73</v>
      </c>
      <c r="C23" s="11">
        <v>1200000</v>
      </c>
      <c r="D23" s="11" t="s">
        <v>74</v>
      </c>
      <c r="E23" s="11" t="s">
        <v>75</v>
      </c>
      <c r="F23" s="11">
        <v>68000</v>
      </c>
      <c r="G23" s="12" t="s">
        <v>76</v>
      </c>
      <c r="J23" t="str">
        <f t="shared" si="1"/>
        <v>Fail</v>
      </c>
      <c r="K23" t="str">
        <f t="shared" si="5"/>
        <v>Not Eligible</v>
      </c>
      <c r="M23" s="15" t="str">
        <f t="shared" si="0"/>
        <v>Standard</v>
      </c>
      <c r="O23">
        <f t="shared" si="3"/>
        <v>8</v>
      </c>
      <c r="Q23" t="str">
        <f t="shared" si="4"/>
        <v>Grade A</v>
      </c>
    </row>
    <row r="24" spans="2:17" ht="15.6" x14ac:dyDescent="0.3">
      <c r="B24" s="9" t="s">
        <v>77</v>
      </c>
      <c r="C24" s="9">
        <v>1550000</v>
      </c>
      <c r="D24" s="9" t="s">
        <v>78</v>
      </c>
      <c r="E24" s="9" t="s">
        <v>79</v>
      </c>
      <c r="F24" s="9">
        <v>80000</v>
      </c>
      <c r="G24" s="10" t="s">
        <v>80</v>
      </c>
      <c r="J24" t="str">
        <f t="shared" si="1"/>
        <v>Pass</v>
      </c>
      <c r="K24" t="str">
        <f t="shared" si="5"/>
        <v>Not Eligible</v>
      </c>
      <c r="M24" s="15" t="str">
        <f t="shared" si="0"/>
        <v>Standard</v>
      </c>
      <c r="O24">
        <f t="shared" si="3"/>
        <v>7</v>
      </c>
      <c r="Q24" t="str">
        <f t="shared" si="4"/>
        <v>Grade A</v>
      </c>
    </row>
    <row r="25" spans="2:17" ht="15.6" x14ac:dyDescent="0.3">
      <c r="B25" s="11" t="s">
        <v>81</v>
      </c>
      <c r="C25" s="11">
        <v>1300000</v>
      </c>
      <c r="D25" s="11" t="s">
        <v>82</v>
      </c>
      <c r="E25" s="11" t="s">
        <v>83</v>
      </c>
      <c r="F25" s="11">
        <v>72000</v>
      </c>
      <c r="G25" s="12" t="s">
        <v>84</v>
      </c>
      <c r="J25" t="str">
        <f t="shared" si="1"/>
        <v>Pass</v>
      </c>
      <c r="K25" t="str">
        <f t="shared" si="5"/>
        <v>Not Eligible</v>
      </c>
      <c r="M25" s="15" t="str">
        <f t="shared" si="0"/>
        <v>Standard</v>
      </c>
      <c r="O25">
        <f t="shared" si="3"/>
        <v>6</v>
      </c>
      <c r="Q25" t="str">
        <f t="shared" si="4"/>
        <v>Grade A</v>
      </c>
    </row>
    <row r="26" spans="2:17" ht="15.6" x14ac:dyDescent="0.3">
      <c r="B26" s="9" t="s">
        <v>85</v>
      </c>
      <c r="C26" s="9">
        <v>1600000</v>
      </c>
      <c r="D26" s="9" t="s">
        <v>82</v>
      </c>
      <c r="E26" s="9" t="s">
        <v>86</v>
      </c>
      <c r="F26" s="9">
        <v>85000</v>
      </c>
      <c r="G26" s="10" t="s">
        <v>87</v>
      </c>
      <c r="J26" t="str">
        <f t="shared" si="1"/>
        <v>Pass</v>
      </c>
      <c r="K26" t="str">
        <f t="shared" si="5"/>
        <v>Not Eligible</v>
      </c>
      <c r="M26" s="15" t="str">
        <f t="shared" si="0"/>
        <v>Standard</v>
      </c>
      <c r="O26">
        <f t="shared" si="3"/>
        <v>6</v>
      </c>
      <c r="Q26" t="str">
        <f t="shared" si="4"/>
        <v>Grade A</v>
      </c>
    </row>
    <row r="27" spans="2:17" ht="15.6" x14ac:dyDescent="0.3">
      <c r="B27" s="11" t="s">
        <v>88</v>
      </c>
      <c r="C27" s="11">
        <v>870000</v>
      </c>
      <c r="D27" s="11" t="s">
        <v>89</v>
      </c>
      <c r="E27" s="11" t="s">
        <v>90</v>
      </c>
      <c r="F27" s="11">
        <v>47000</v>
      </c>
      <c r="G27" s="12" t="s">
        <v>91</v>
      </c>
      <c r="J27" t="str">
        <f t="shared" si="1"/>
        <v>Pass</v>
      </c>
      <c r="K27" t="str">
        <f t="shared" si="5"/>
        <v>Not Eligible</v>
      </c>
      <c r="M27" s="15" t="str">
        <f t="shared" si="0"/>
        <v>Standard</v>
      </c>
      <c r="O27">
        <f t="shared" si="3"/>
        <v>6</v>
      </c>
      <c r="Q27" t="str">
        <f t="shared" si="4"/>
        <v>Grade A</v>
      </c>
    </row>
    <row r="28" spans="2:17" ht="15.6" x14ac:dyDescent="0.3">
      <c r="B28" s="9" t="s">
        <v>92</v>
      </c>
      <c r="C28" s="9">
        <v>760000</v>
      </c>
      <c r="D28" s="9" t="s">
        <v>93</v>
      </c>
      <c r="E28" s="9" t="s">
        <v>94</v>
      </c>
      <c r="F28" s="9">
        <v>44000</v>
      </c>
      <c r="G28" s="10" t="s">
        <v>95</v>
      </c>
      <c r="J28" t="str">
        <f t="shared" si="1"/>
        <v>Fail</v>
      </c>
      <c r="K28" t="str">
        <f t="shared" si="5"/>
        <v>Not Eligible</v>
      </c>
      <c r="M28" s="15" t="str">
        <f t="shared" si="0"/>
        <v>Standard</v>
      </c>
      <c r="O28">
        <f t="shared" si="3"/>
        <v>6</v>
      </c>
      <c r="Q28" t="str">
        <f t="shared" si="4"/>
        <v>Grade A</v>
      </c>
    </row>
    <row r="29" spans="2:17" ht="28.8" x14ac:dyDescent="0.3">
      <c r="B29" s="11" t="s">
        <v>96</v>
      </c>
      <c r="C29" s="11">
        <v>690000</v>
      </c>
      <c r="D29" s="11" t="s">
        <v>97</v>
      </c>
      <c r="E29" s="11" t="s">
        <v>98</v>
      </c>
      <c r="F29" s="11">
        <v>50000</v>
      </c>
      <c r="G29" s="12" t="s">
        <v>99</v>
      </c>
      <c r="J29" t="str">
        <f t="shared" si="1"/>
        <v>Fail</v>
      </c>
      <c r="K29" t="str">
        <f t="shared" si="5"/>
        <v>Not Eligible</v>
      </c>
      <c r="M29" s="15" t="str">
        <f t="shared" si="0"/>
        <v>Standard</v>
      </c>
      <c r="O29">
        <f t="shared" si="3"/>
        <v>5</v>
      </c>
      <c r="Q29" t="str">
        <f t="shared" si="4"/>
        <v>Grade A</v>
      </c>
    </row>
    <row r="30" spans="2:17" ht="15.6" x14ac:dyDescent="0.3">
      <c r="B30" s="9" t="s">
        <v>100</v>
      </c>
      <c r="C30" s="9">
        <v>740000</v>
      </c>
      <c r="D30" s="9" t="s">
        <v>101</v>
      </c>
      <c r="E30" s="9" t="s">
        <v>102</v>
      </c>
      <c r="F30" s="9">
        <v>41000</v>
      </c>
      <c r="G30" s="10" t="s">
        <v>103</v>
      </c>
      <c r="J30" t="str">
        <f t="shared" si="1"/>
        <v>Fail</v>
      </c>
      <c r="K30" t="str">
        <f t="shared" si="5"/>
        <v>Not Eligible</v>
      </c>
      <c r="M30" s="15" t="str">
        <f t="shared" si="0"/>
        <v>Standard</v>
      </c>
      <c r="O30">
        <f t="shared" si="3"/>
        <v>4</v>
      </c>
      <c r="Q30" t="str">
        <f t="shared" si="4"/>
        <v>Grade A</v>
      </c>
    </row>
    <row r="31" spans="2:17" ht="15.6" x14ac:dyDescent="0.3">
      <c r="B31" s="11" t="s">
        <v>104</v>
      </c>
      <c r="C31" s="11">
        <v>990000</v>
      </c>
      <c r="D31" s="11" t="s">
        <v>32</v>
      </c>
      <c r="E31" s="11" t="s">
        <v>105</v>
      </c>
      <c r="F31" s="11">
        <v>56000</v>
      </c>
      <c r="G31" s="12" t="s">
        <v>106</v>
      </c>
      <c r="J31" t="str">
        <f t="shared" si="1"/>
        <v>Fail</v>
      </c>
      <c r="K31" t="str">
        <f t="shared" si="5"/>
        <v>Not Eligible</v>
      </c>
      <c r="M31" s="15" t="str">
        <f t="shared" si="0"/>
        <v>Standard</v>
      </c>
      <c r="O31">
        <f t="shared" si="3"/>
        <v>3</v>
      </c>
      <c r="Q31" t="str">
        <f t="shared" si="4"/>
        <v>Grade A</v>
      </c>
    </row>
    <row r="32" spans="2:17" ht="15.6" x14ac:dyDescent="0.3">
      <c r="B32" s="9" t="s">
        <v>107</v>
      </c>
      <c r="C32" s="9">
        <v>580000</v>
      </c>
      <c r="D32" s="9" t="s">
        <v>108</v>
      </c>
      <c r="E32" s="9" t="s">
        <v>109</v>
      </c>
      <c r="F32" s="9">
        <v>39000</v>
      </c>
      <c r="G32" s="10" t="s">
        <v>110</v>
      </c>
      <c r="J32" t="str">
        <f t="shared" si="1"/>
        <v>Fail</v>
      </c>
      <c r="K32" t="str">
        <f t="shared" si="5"/>
        <v>Not Eligible</v>
      </c>
      <c r="M32" s="15" t="str">
        <f t="shared" si="0"/>
        <v>Standard</v>
      </c>
      <c r="O32">
        <f t="shared" si="3"/>
        <v>2</v>
      </c>
      <c r="Q32" t="str">
        <f t="shared" si="4"/>
        <v>Grade A</v>
      </c>
    </row>
    <row r="33" spans="2:17" ht="15.6" x14ac:dyDescent="0.3">
      <c r="B33" s="11" t="s">
        <v>111</v>
      </c>
      <c r="C33" s="11">
        <v>830000</v>
      </c>
      <c r="D33" s="11" t="s">
        <v>108</v>
      </c>
      <c r="E33" s="11" t="s">
        <v>112</v>
      </c>
      <c r="F33" s="11">
        <v>53000</v>
      </c>
      <c r="G33" s="12" t="s">
        <v>113</v>
      </c>
      <c r="J33" t="str">
        <f t="shared" si="1"/>
        <v>Fail</v>
      </c>
      <c r="K33" t="str">
        <f t="shared" si="5"/>
        <v>Not Eligible</v>
      </c>
      <c r="M33" s="15" t="str">
        <f t="shared" si="0"/>
        <v>Standard</v>
      </c>
      <c r="O33">
        <f t="shared" si="3"/>
        <v>2</v>
      </c>
      <c r="Q33" t="str">
        <f t="shared" si="4"/>
        <v>Grade A</v>
      </c>
    </row>
    <row r="34" spans="2:17" ht="15.6" x14ac:dyDescent="0.3">
      <c r="B34" s="9" t="s">
        <v>114</v>
      </c>
      <c r="C34" s="9">
        <v>1400000</v>
      </c>
      <c r="D34" s="9" t="s">
        <v>115</v>
      </c>
      <c r="E34" s="9" t="s">
        <v>116</v>
      </c>
      <c r="F34" s="9">
        <v>74000</v>
      </c>
      <c r="G34" s="10" t="s">
        <v>117</v>
      </c>
      <c r="J34" t="str">
        <f t="shared" si="1"/>
        <v>Fail</v>
      </c>
      <c r="K34" t="str">
        <f t="shared" si="5"/>
        <v>Not Eligible</v>
      </c>
      <c r="M34" s="15" t="str">
        <f t="shared" si="0"/>
        <v>Standard</v>
      </c>
      <c r="O34">
        <f t="shared" si="3"/>
        <v>2</v>
      </c>
      <c r="Q34" t="str">
        <f t="shared" si="4"/>
        <v>Grade A</v>
      </c>
    </row>
    <row r="35" spans="2:17" ht="15.6" x14ac:dyDescent="0.3">
      <c r="B35" s="13" t="s">
        <v>118</v>
      </c>
      <c r="C35" s="13">
        <v>1080000</v>
      </c>
      <c r="D35" s="13" t="s">
        <v>119</v>
      </c>
      <c r="E35" s="13" t="s">
        <v>120</v>
      </c>
      <c r="F35" s="13">
        <v>61000</v>
      </c>
      <c r="G35" s="14" t="s">
        <v>121</v>
      </c>
      <c r="J35" t="str">
        <f t="shared" si="1"/>
        <v>Pass</v>
      </c>
      <c r="K35" t="str">
        <f t="shared" si="5"/>
        <v>Not Eligible</v>
      </c>
      <c r="M35" s="15" t="str">
        <f t="shared" si="0"/>
        <v>Standard</v>
      </c>
      <c r="O35">
        <f t="shared" si="3"/>
        <v>2</v>
      </c>
      <c r="Q35" t="str">
        <f t="shared" si="4"/>
        <v>Grade A</v>
      </c>
    </row>
    <row r="36" spans="2:17" x14ac:dyDescent="0.3">
      <c r="B36" s="3"/>
      <c r="C36" s="3"/>
      <c r="D36" s="3"/>
      <c r="E36" s="3"/>
      <c r="F36" s="3"/>
    </row>
  </sheetData>
  <pageMargins left="0.7" right="0.7" top="0.75" bottom="0.75" header="0.3" footer="0.3"/>
  <ignoredErrors>
    <ignoredError sqref="P30:P35 P8:P2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F16B-0474-454A-8474-010AA7F3F812}">
  <dimension ref="B2:T32"/>
  <sheetViews>
    <sheetView topLeftCell="D23" zoomScale="111" workbookViewId="0">
      <selection activeCell="J9" sqref="J9"/>
    </sheetView>
  </sheetViews>
  <sheetFormatPr defaultRowHeight="14.4" x14ac:dyDescent="0.3"/>
  <cols>
    <col min="2" max="2" width="19.44140625" customWidth="1"/>
    <col min="3" max="3" width="13.109375" customWidth="1"/>
    <col min="4" max="4" width="15.88671875" customWidth="1"/>
    <col min="5" max="6" width="12.77734375" customWidth="1"/>
    <col min="7" max="7" width="16.77734375" customWidth="1"/>
    <col min="14" max="14" width="12.109375" customWidth="1"/>
    <col min="16" max="16" width="13" customWidth="1"/>
  </cols>
  <sheetData>
    <row r="2" spans="2:20" ht="28.8" x14ac:dyDescent="0.3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J2" s="17" t="s">
        <v>129</v>
      </c>
      <c r="L2" s="6" t="s">
        <v>127</v>
      </c>
      <c r="N2" s="6" t="s">
        <v>128</v>
      </c>
      <c r="P2" s="16" t="s">
        <v>130</v>
      </c>
      <c r="R2" s="6" t="s">
        <v>131</v>
      </c>
      <c r="T2" s="6" t="s">
        <v>132</v>
      </c>
    </row>
    <row r="3" spans="2:20" ht="28.8" x14ac:dyDescent="0.3">
      <c r="B3" s="9" t="s">
        <v>7</v>
      </c>
      <c r="C3" s="9">
        <v>850000</v>
      </c>
      <c r="D3" s="9" t="s">
        <v>8</v>
      </c>
      <c r="E3" s="9" t="s">
        <v>9</v>
      </c>
      <c r="F3" s="9">
        <v>45000</v>
      </c>
      <c r="G3" s="10" t="s">
        <v>10</v>
      </c>
      <c r="J3">
        <f>COUNTIFS(C2:C31,"&gt;1000000",F2:F31,"&gt;50000")</f>
        <v>11</v>
      </c>
      <c r="L3">
        <f>SUMIFS(C2:C31,D2:D31,"Cars")</f>
        <v>2200000</v>
      </c>
      <c r="N3">
        <f>AVERAGE(F3:F32,C3:C32)</f>
        <v>526300</v>
      </c>
      <c r="P3" t="str">
        <f>VLOOKUP(B5,B2:G25,4,0)</f>
        <v>Priya Singh</v>
      </c>
      <c r="R3" t="str">
        <f>_xlfn.XLOOKUP("EMP109",F2:F31,E2:E31,"Not Found")</f>
        <v>Not Found</v>
      </c>
      <c r="T3">
        <f>_xlfn.XMATCH("EMP109",G2:G31)</f>
        <v>10</v>
      </c>
    </row>
    <row r="4" spans="2:20" ht="28.8" x14ac:dyDescent="0.3">
      <c r="B4" s="11" t="s">
        <v>11</v>
      </c>
      <c r="C4" s="11">
        <v>1250000</v>
      </c>
      <c r="D4" s="11" t="s">
        <v>12</v>
      </c>
      <c r="E4" s="11" t="s">
        <v>13</v>
      </c>
      <c r="F4" s="11">
        <v>65000</v>
      </c>
      <c r="G4" s="12" t="s">
        <v>14</v>
      </c>
      <c r="J4">
        <f t="shared" ref="J4:J32" si="0">COUNTIFS(C3:C32,"&gt;1000000",F3:F32,"&gt;50000")</f>
        <v>12</v>
      </c>
      <c r="L4">
        <f t="shared" ref="L4:L32" si="1">SUMIFS(C3:C32,D3:D32,"Cars")</f>
        <v>2200000</v>
      </c>
      <c r="N4">
        <f t="shared" ref="N4:N32" si="2">AVERAGE(F4:F33,C4:C33)</f>
        <v>529017.24137931038</v>
      </c>
      <c r="P4" t="str">
        <f t="shared" ref="P4:P32" si="3">VLOOKUP(B6,B3:G26,4,0)</f>
        <v>Rohit Kumar</v>
      </c>
      <c r="R4" t="str">
        <f t="shared" ref="R4:R32" si="4">_xlfn.XLOOKUP("EMP109",F3:F32,E3:E32,"Not Found")</f>
        <v>Not Found</v>
      </c>
      <c r="T4">
        <f t="shared" ref="T4:T32" si="5">_xlfn.XMATCH("EMP109",G3:G32)</f>
        <v>9</v>
      </c>
    </row>
    <row r="5" spans="2:20" ht="28.8" x14ac:dyDescent="0.3">
      <c r="B5" s="9" t="s">
        <v>15</v>
      </c>
      <c r="C5" s="9">
        <v>950000</v>
      </c>
      <c r="D5" s="9" t="s">
        <v>16</v>
      </c>
      <c r="E5" s="9" t="s">
        <v>17</v>
      </c>
      <c r="F5" s="9">
        <v>55000</v>
      </c>
      <c r="G5" s="10" t="s">
        <v>18</v>
      </c>
      <c r="J5">
        <f t="shared" si="0"/>
        <v>12</v>
      </c>
      <c r="L5">
        <f t="shared" si="1"/>
        <v>1350000</v>
      </c>
      <c r="N5">
        <f t="shared" si="2"/>
        <v>524428.57142857148</v>
      </c>
      <c r="P5" t="str">
        <f t="shared" si="3"/>
        <v>Neha Patel</v>
      </c>
      <c r="R5" t="str">
        <f t="shared" si="4"/>
        <v>Not Found</v>
      </c>
      <c r="T5">
        <f t="shared" si="5"/>
        <v>8</v>
      </c>
    </row>
    <row r="6" spans="2:20" ht="28.8" x14ac:dyDescent="0.3">
      <c r="B6" s="11" t="s">
        <v>19</v>
      </c>
      <c r="C6" s="11">
        <v>780000</v>
      </c>
      <c r="D6" s="11" t="s">
        <v>20</v>
      </c>
      <c r="E6" s="11" t="s">
        <v>21</v>
      </c>
      <c r="F6" s="11">
        <v>48000</v>
      </c>
      <c r="G6" s="12" t="s">
        <v>22</v>
      </c>
      <c r="J6">
        <f t="shared" si="0"/>
        <v>11</v>
      </c>
      <c r="L6">
        <f t="shared" si="1"/>
        <v>1350000</v>
      </c>
      <c r="N6">
        <f t="shared" si="2"/>
        <v>525240.74074074079</v>
      </c>
      <c r="P6" t="str">
        <f t="shared" si="3"/>
        <v>Karan Mehta</v>
      </c>
      <c r="R6" t="str">
        <f t="shared" si="4"/>
        <v>Not Found</v>
      </c>
      <c r="T6">
        <f t="shared" si="5"/>
        <v>7</v>
      </c>
    </row>
    <row r="7" spans="2:20" ht="28.8" x14ac:dyDescent="0.3">
      <c r="B7" s="9" t="s">
        <v>23</v>
      </c>
      <c r="C7" s="9">
        <v>1100000</v>
      </c>
      <c r="D7" s="9" t="s">
        <v>24</v>
      </c>
      <c r="E7" s="9" t="s">
        <v>25</v>
      </c>
      <c r="F7" s="9">
        <v>60000</v>
      </c>
      <c r="G7" s="10" t="s">
        <v>26</v>
      </c>
      <c r="J7">
        <f t="shared" si="0"/>
        <v>11</v>
      </c>
      <c r="L7">
        <f t="shared" si="1"/>
        <v>1350000</v>
      </c>
      <c r="N7">
        <f t="shared" si="2"/>
        <v>529519.23076923075</v>
      </c>
      <c r="P7" t="str">
        <f t="shared" si="3"/>
        <v>Anjali Gupta</v>
      </c>
      <c r="R7" t="str">
        <f t="shared" si="4"/>
        <v>Not Found</v>
      </c>
      <c r="T7">
        <f t="shared" si="5"/>
        <v>6</v>
      </c>
    </row>
    <row r="8" spans="2:20" ht="28.8" x14ac:dyDescent="0.3">
      <c r="B8" s="11" t="s">
        <v>27</v>
      </c>
      <c r="C8" s="11">
        <v>920000</v>
      </c>
      <c r="D8" s="11" t="s">
        <v>28</v>
      </c>
      <c r="E8" s="11" t="s">
        <v>29</v>
      </c>
      <c r="F8" s="11">
        <v>52000</v>
      </c>
      <c r="G8" s="12" t="s">
        <v>30</v>
      </c>
      <c r="J8">
        <f t="shared" si="0"/>
        <v>11</v>
      </c>
      <c r="L8">
        <f t="shared" si="1"/>
        <v>1350000</v>
      </c>
      <c r="N8">
        <f t="shared" si="2"/>
        <v>527500</v>
      </c>
      <c r="P8" t="str">
        <f t="shared" si="3"/>
        <v>Vikas Yadav</v>
      </c>
      <c r="R8" t="str">
        <f t="shared" si="4"/>
        <v>Not Found</v>
      </c>
      <c r="T8">
        <f t="shared" si="5"/>
        <v>5</v>
      </c>
    </row>
    <row r="9" spans="2:20" ht="28.8" x14ac:dyDescent="0.3">
      <c r="B9" s="9" t="s">
        <v>31</v>
      </c>
      <c r="C9" s="9">
        <v>680000</v>
      </c>
      <c r="D9" s="9" t="s">
        <v>32</v>
      </c>
      <c r="E9" s="9" t="s">
        <v>33</v>
      </c>
      <c r="F9" s="9">
        <v>42000</v>
      </c>
      <c r="G9" s="10" t="s">
        <v>34</v>
      </c>
      <c r="J9">
        <f t="shared" si="0"/>
        <v>10</v>
      </c>
      <c r="L9">
        <f t="shared" si="1"/>
        <v>1350000</v>
      </c>
      <c r="N9">
        <f t="shared" si="2"/>
        <v>529229.16666666663</v>
      </c>
      <c r="P9" t="str">
        <f t="shared" si="3"/>
        <v>Sneha Joshi</v>
      </c>
      <c r="R9" t="str">
        <f t="shared" si="4"/>
        <v>Not Found</v>
      </c>
      <c r="T9">
        <f t="shared" si="5"/>
        <v>4</v>
      </c>
    </row>
    <row r="10" spans="2:20" ht="28.8" x14ac:dyDescent="0.3">
      <c r="B10" s="11" t="s">
        <v>35</v>
      </c>
      <c r="C10" s="11">
        <v>720000</v>
      </c>
      <c r="D10" s="11" t="s">
        <v>36</v>
      </c>
      <c r="E10" s="11" t="s">
        <v>37</v>
      </c>
      <c r="F10" s="11">
        <v>46000</v>
      </c>
      <c r="G10" s="12" t="s">
        <v>38</v>
      </c>
      <c r="J10">
        <f t="shared" si="0"/>
        <v>10</v>
      </c>
      <c r="L10">
        <f t="shared" si="1"/>
        <v>1350000</v>
      </c>
      <c r="N10">
        <f t="shared" si="2"/>
        <v>536543.47826086951</v>
      </c>
      <c r="P10" t="str">
        <f t="shared" si="3"/>
        <v>Arjun Malhotra</v>
      </c>
      <c r="R10" t="str">
        <f t="shared" si="4"/>
        <v>Not Found</v>
      </c>
      <c r="T10">
        <f t="shared" si="5"/>
        <v>3</v>
      </c>
    </row>
    <row r="11" spans="2:20" ht="28.8" x14ac:dyDescent="0.3">
      <c r="B11" s="9" t="s">
        <v>39</v>
      </c>
      <c r="C11" s="9">
        <v>1350000</v>
      </c>
      <c r="D11" s="9" t="s">
        <v>8</v>
      </c>
      <c r="E11" s="9" t="s">
        <v>40</v>
      </c>
      <c r="F11" s="9">
        <v>70000</v>
      </c>
      <c r="G11" s="10" t="s">
        <v>41</v>
      </c>
      <c r="J11">
        <f t="shared" si="0"/>
        <v>10</v>
      </c>
      <c r="L11">
        <f t="shared" si="1"/>
        <v>1350000</v>
      </c>
      <c r="N11">
        <f t="shared" si="2"/>
        <v>543522.72727272729</v>
      </c>
      <c r="P11" t="str">
        <f t="shared" si="3"/>
        <v>Pooja Shah</v>
      </c>
      <c r="R11" t="str">
        <f t="shared" si="4"/>
        <v>Not Found</v>
      </c>
      <c r="T11">
        <f t="shared" si="5"/>
        <v>2</v>
      </c>
    </row>
    <row r="12" spans="2:20" ht="28.8" x14ac:dyDescent="0.3">
      <c r="B12" s="11" t="s">
        <v>42</v>
      </c>
      <c r="C12" s="11">
        <v>1050000</v>
      </c>
      <c r="D12" s="11" t="s">
        <v>43</v>
      </c>
      <c r="E12" s="11" t="s">
        <v>44</v>
      </c>
      <c r="F12" s="11">
        <v>58000</v>
      </c>
      <c r="G12" s="12" t="s">
        <v>45</v>
      </c>
      <c r="J12">
        <f t="shared" si="0"/>
        <v>10</v>
      </c>
      <c r="L12">
        <f t="shared" si="1"/>
        <v>1350000</v>
      </c>
      <c r="N12">
        <f t="shared" si="2"/>
        <v>535595.23809523811</v>
      </c>
      <c r="P12" t="str">
        <f t="shared" si="3"/>
        <v>Deepak Mishra</v>
      </c>
      <c r="R12" t="str">
        <f t="shared" si="4"/>
        <v>Not Found</v>
      </c>
      <c r="T12">
        <f t="shared" si="5"/>
        <v>1</v>
      </c>
    </row>
    <row r="13" spans="2:20" ht="28.8" x14ac:dyDescent="0.3">
      <c r="B13" s="9" t="s">
        <v>46</v>
      </c>
      <c r="C13" s="9">
        <v>890000</v>
      </c>
      <c r="D13" s="9" t="s">
        <v>47</v>
      </c>
      <c r="E13" s="9" t="s">
        <v>48</v>
      </c>
      <c r="F13" s="9">
        <v>51000</v>
      </c>
      <c r="G13" s="10" t="s">
        <v>49</v>
      </c>
      <c r="J13">
        <f t="shared" si="0"/>
        <v>9</v>
      </c>
      <c r="L13">
        <f t="shared" si="1"/>
        <v>0</v>
      </c>
      <c r="N13">
        <f t="shared" si="2"/>
        <v>534675</v>
      </c>
      <c r="P13" t="str">
        <f t="shared" si="3"/>
        <v>Simran Kaur</v>
      </c>
      <c r="R13" t="str">
        <f t="shared" si="4"/>
        <v>Not Found</v>
      </c>
      <c r="T13" t="e">
        <f t="shared" si="5"/>
        <v>#N/A</v>
      </c>
    </row>
    <row r="14" spans="2:20" ht="28.8" x14ac:dyDescent="0.3">
      <c r="B14" s="11" t="s">
        <v>50</v>
      </c>
      <c r="C14" s="11">
        <v>980000</v>
      </c>
      <c r="D14" s="11" t="s">
        <v>51</v>
      </c>
      <c r="E14" s="11" t="s">
        <v>52</v>
      </c>
      <c r="F14" s="11">
        <v>62000</v>
      </c>
      <c r="G14" s="12" t="s">
        <v>53</v>
      </c>
      <c r="J14">
        <f t="shared" si="0"/>
        <v>8</v>
      </c>
      <c r="L14">
        <f t="shared" si="1"/>
        <v>0</v>
      </c>
      <c r="N14">
        <f t="shared" si="2"/>
        <v>538052.63157894742</v>
      </c>
      <c r="P14" t="str">
        <f t="shared" si="3"/>
        <v>Manish Jain</v>
      </c>
      <c r="R14" t="str">
        <f>_xlfn.XLOOKUP("EMP109",F13:F42,E13:E42,"Not Found")</f>
        <v>Not Found</v>
      </c>
      <c r="T14" t="e">
        <f t="shared" si="5"/>
        <v>#N/A</v>
      </c>
    </row>
    <row r="15" spans="2:20" x14ac:dyDescent="0.3">
      <c r="B15" s="9" t="s">
        <v>54</v>
      </c>
      <c r="C15" s="9">
        <v>1150000</v>
      </c>
      <c r="D15" s="9" t="s">
        <v>55</v>
      </c>
      <c r="E15" s="9" t="s">
        <v>56</v>
      </c>
      <c r="F15" s="9">
        <v>57000</v>
      </c>
      <c r="G15" s="10" t="s">
        <v>57</v>
      </c>
      <c r="J15">
        <f t="shared" si="0"/>
        <v>8</v>
      </c>
      <c r="L15">
        <f t="shared" si="1"/>
        <v>0</v>
      </c>
      <c r="N15">
        <f t="shared" si="2"/>
        <v>539000</v>
      </c>
      <c r="P15" t="str">
        <f t="shared" si="3"/>
        <v>Kavita Rao</v>
      </c>
      <c r="R15" t="str">
        <f t="shared" si="4"/>
        <v>Not Found</v>
      </c>
      <c r="T15" t="e">
        <f t="shared" si="5"/>
        <v>#N/A</v>
      </c>
    </row>
    <row r="16" spans="2:20" x14ac:dyDescent="0.3">
      <c r="B16" s="11" t="s">
        <v>58</v>
      </c>
      <c r="C16" s="11">
        <v>1450000</v>
      </c>
      <c r="D16" s="11" t="s">
        <v>59</v>
      </c>
      <c r="E16" s="11" t="s">
        <v>60</v>
      </c>
      <c r="F16" s="11">
        <v>75000</v>
      </c>
      <c r="G16" s="12" t="s">
        <v>61</v>
      </c>
      <c r="J16">
        <f t="shared" si="0"/>
        <v>8</v>
      </c>
      <c r="L16">
        <f t="shared" si="1"/>
        <v>0</v>
      </c>
      <c r="N16">
        <f t="shared" si="2"/>
        <v>535205.8823529412</v>
      </c>
      <c r="P16" t="str">
        <f t="shared" si="3"/>
        <v>Nikhil Das</v>
      </c>
      <c r="R16" t="str">
        <f t="shared" si="4"/>
        <v>Not Found</v>
      </c>
      <c r="T16" t="e">
        <f t="shared" si="5"/>
        <v>#N/A</v>
      </c>
    </row>
    <row r="17" spans="2:20" x14ac:dyDescent="0.3">
      <c r="B17" s="9" t="s">
        <v>62</v>
      </c>
      <c r="C17" s="9">
        <v>820000</v>
      </c>
      <c r="D17" s="9" t="s">
        <v>63</v>
      </c>
      <c r="E17" s="9" t="s">
        <v>64</v>
      </c>
      <c r="F17" s="9">
        <v>49000</v>
      </c>
      <c r="G17" s="10" t="s">
        <v>65</v>
      </c>
      <c r="J17">
        <f t="shared" si="0"/>
        <v>7</v>
      </c>
      <c r="L17">
        <f t="shared" si="1"/>
        <v>0</v>
      </c>
      <c r="N17">
        <f t="shared" si="2"/>
        <v>521000</v>
      </c>
      <c r="P17" t="str">
        <f t="shared" si="3"/>
        <v>Riya Kapoor</v>
      </c>
      <c r="R17" t="str">
        <f t="shared" si="4"/>
        <v>Not Found</v>
      </c>
      <c r="T17" t="e">
        <f t="shared" si="5"/>
        <v>#N/A</v>
      </c>
    </row>
    <row r="18" spans="2:20" x14ac:dyDescent="0.3">
      <c r="B18" s="11" t="s">
        <v>66</v>
      </c>
      <c r="C18" s="11">
        <v>650000</v>
      </c>
      <c r="D18" s="11" t="s">
        <v>67</v>
      </c>
      <c r="E18" s="11" t="s">
        <v>68</v>
      </c>
      <c r="F18" s="11">
        <v>40000</v>
      </c>
      <c r="G18" s="12" t="s">
        <v>69</v>
      </c>
      <c r="J18">
        <f t="shared" si="0"/>
        <v>6</v>
      </c>
      <c r="L18">
        <f t="shared" si="1"/>
        <v>0</v>
      </c>
      <c r="N18">
        <f t="shared" si="2"/>
        <v>526766.66666666663</v>
      </c>
      <c r="P18" t="str">
        <f t="shared" si="3"/>
        <v>Varun Sethi</v>
      </c>
      <c r="R18" t="str">
        <f t="shared" si="4"/>
        <v>Not Found</v>
      </c>
      <c r="T18" t="e">
        <f t="shared" si="5"/>
        <v>#N/A</v>
      </c>
    </row>
    <row r="19" spans="2:20" x14ac:dyDescent="0.3">
      <c r="B19" s="9" t="s">
        <v>70</v>
      </c>
      <c r="C19" s="9">
        <v>710000</v>
      </c>
      <c r="D19" s="9" t="s">
        <v>67</v>
      </c>
      <c r="E19" s="9" t="s">
        <v>71</v>
      </c>
      <c r="F19" s="9">
        <v>43000</v>
      </c>
      <c r="G19" s="10" t="s">
        <v>72</v>
      </c>
      <c r="J19">
        <f t="shared" si="0"/>
        <v>6</v>
      </c>
      <c r="L19">
        <f t="shared" si="1"/>
        <v>0</v>
      </c>
      <c r="N19">
        <f t="shared" si="2"/>
        <v>539750</v>
      </c>
      <c r="P19" t="str">
        <f t="shared" si="3"/>
        <v>Tanya Roy</v>
      </c>
      <c r="R19" t="str">
        <f t="shared" si="4"/>
        <v>Not Found</v>
      </c>
      <c r="T19" t="e">
        <f t="shared" si="5"/>
        <v>#N/A</v>
      </c>
    </row>
    <row r="20" spans="2:20" x14ac:dyDescent="0.3">
      <c r="B20" s="11" t="s">
        <v>73</v>
      </c>
      <c r="C20" s="11">
        <v>1200000</v>
      </c>
      <c r="D20" s="11" t="s">
        <v>74</v>
      </c>
      <c r="E20" s="11" t="s">
        <v>75</v>
      </c>
      <c r="F20" s="11">
        <v>68000</v>
      </c>
      <c r="G20" s="12" t="s">
        <v>76</v>
      </c>
      <c r="J20">
        <f t="shared" si="0"/>
        <v>6</v>
      </c>
      <c r="L20">
        <f t="shared" si="1"/>
        <v>0</v>
      </c>
      <c r="N20">
        <f t="shared" si="2"/>
        <v>552307.69230769225</v>
      </c>
      <c r="P20" t="str">
        <f t="shared" si="3"/>
        <v>Akash Thakur</v>
      </c>
      <c r="R20" t="str">
        <f t="shared" si="4"/>
        <v>Not Found</v>
      </c>
      <c r="T20" t="e">
        <f t="shared" si="5"/>
        <v>#N/A</v>
      </c>
    </row>
    <row r="21" spans="2:20" x14ac:dyDescent="0.3">
      <c r="B21" s="9" t="s">
        <v>77</v>
      </c>
      <c r="C21" s="9">
        <v>1550000</v>
      </c>
      <c r="D21" s="9" t="s">
        <v>78</v>
      </c>
      <c r="E21" s="9" t="s">
        <v>79</v>
      </c>
      <c r="F21" s="9">
        <v>80000</v>
      </c>
      <c r="G21" s="10" t="s">
        <v>80</v>
      </c>
      <c r="J21">
        <f t="shared" si="0"/>
        <v>6</v>
      </c>
      <c r="L21">
        <f t="shared" si="1"/>
        <v>0</v>
      </c>
      <c r="N21">
        <f t="shared" si="2"/>
        <v>545500</v>
      </c>
      <c r="P21" t="str">
        <f t="shared" si="3"/>
        <v>Meera Nair</v>
      </c>
      <c r="R21" t="str">
        <f t="shared" si="4"/>
        <v>Not Found</v>
      </c>
      <c r="T21" t="e">
        <f t="shared" si="5"/>
        <v>#N/A</v>
      </c>
    </row>
    <row r="22" spans="2:20" x14ac:dyDescent="0.3">
      <c r="B22" s="11" t="s">
        <v>81</v>
      </c>
      <c r="C22" s="11">
        <v>1300000</v>
      </c>
      <c r="D22" s="11" t="s">
        <v>82</v>
      </c>
      <c r="E22" s="11" t="s">
        <v>83</v>
      </c>
      <c r="F22" s="11">
        <v>72000</v>
      </c>
      <c r="G22" s="12" t="s">
        <v>84</v>
      </c>
      <c r="J22">
        <f t="shared" si="0"/>
        <v>5</v>
      </c>
      <c r="L22">
        <f t="shared" si="1"/>
        <v>0</v>
      </c>
      <c r="N22">
        <f t="shared" si="2"/>
        <v>521000</v>
      </c>
      <c r="P22" t="str">
        <f t="shared" si="3"/>
        <v>Saurabh Jain</v>
      </c>
      <c r="R22" t="str">
        <f t="shared" si="4"/>
        <v>Not Found</v>
      </c>
      <c r="T22" t="e">
        <f t="shared" si="5"/>
        <v>#N/A</v>
      </c>
    </row>
    <row r="23" spans="2:20" x14ac:dyDescent="0.3">
      <c r="B23" s="9" t="s">
        <v>85</v>
      </c>
      <c r="C23" s="9">
        <v>1600000</v>
      </c>
      <c r="D23" s="9" t="s">
        <v>82</v>
      </c>
      <c r="E23" s="9" t="s">
        <v>86</v>
      </c>
      <c r="F23" s="9">
        <v>85000</v>
      </c>
      <c r="G23" s="10" t="s">
        <v>87</v>
      </c>
      <c r="J23">
        <f t="shared" si="0"/>
        <v>4</v>
      </c>
      <c r="L23">
        <f t="shared" si="1"/>
        <v>0</v>
      </c>
      <c r="N23">
        <f t="shared" si="2"/>
        <v>504500</v>
      </c>
      <c r="P23" t="str">
        <f t="shared" si="3"/>
        <v>Divya Sharma</v>
      </c>
      <c r="R23" t="str">
        <f t="shared" si="4"/>
        <v>Not Found</v>
      </c>
      <c r="T23" t="e">
        <f t="shared" si="5"/>
        <v>#N/A</v>
      </c>
    </row>
    <row r="24" spans="2:20" x14ac:dyDescent="0.3">
      <c r="B24" s="11" t="s">
        <v>88</v>
      </c>
      <c r="C24" s="11">
        <v>870000</v>
      </c>
      <c r="D24" s="11" t="s">
        <v>89</v>
      </c>
      <c r="E24" s="11" t="s">
        <v>90</v>
      </c>
      <c r="F24" s="11">
        <v>47000</v>
      </c>
      <c r="G24" s="12" t="s">
        <v>91</v>
      </c>
      <c r="J24">
        <f t="shared" si="0"/>
        <v>3</v>
      </c>
      <c r="L24">
        <f t="shared" si="1"/>
        <v>0</v>
      </c>
      <c r="N24">
        <f t="shared" si="2"/>
        <v>466944.44444444444</v>
      </c>
      <c r="P24" t="str">
        <f t="shared" si="3"/>
        <v>Mohit Agarwal</v>
      </c>
      <c r="R24" t="str">
        <f t="shared" si="4"/>
        <v>Not Found</v>
      </c>
      <c r="T24" t="e">
        <f t="shared" si="5"/>
        <v>#N/A</v>
      </c>
    </row>
    <row r="25" spans="2:20" x14ac:dyDescent="0.3">
      <c r="B25" s="9" t="s">
        <v>92</v>
      </c>
      <c r="C25" s="9">
        <v>760000</v>
      </c>
      <c r="D25" s="9" t="s">
        <v>93</v>
      </c>
      <c r="E25" s="9" t="s">
        <v>94</v>
      </c>
      <c r="F25" s="9">
        <v>44000</v>
      </c>
      <c r="G25" s="10" t="s">
        <v>95</v>
      </c>
      <c r="J25">
        <f t="shared" si="0"/>
        <v>2</v>
      </c>
      <c r="L25">
        <f t="shared" si="1"/>
        <v>0</v>
      </c>
      <c r="N25">
        <f t="shared" si="2"/>
        <v>468000</v>
      </c>
      <c r="P25" t="str">
        <f t="shared" si="3"/>
        <v>Shreya Ghosh</v>
      </c>
      <c r="R25" t="str">
        <f t="shared" si="4"/>
        <v>Not Found</v>
      </c>
      <c r="T25" t="e">
        <f t="shared" si="5"/>
        <v>#N/A</v>
      </c>
    </row>
    <row r="26" spans="2:20" x14ac:dyDescent="0.3">
      <c r="B26" s="11" t="s">
        <v>96</v>
      </c>
      <c r="C26" s="11">
        <v>690000</v>
      </c>
      <c r="D26" s="11" t="s">
        <v>97</v>
      </c>
      <c r="E26" s="11" t="s">
        <v>98</v>
      </c>
      <c r="F26" s="11">
        <v>50000</v>
      </c>
      <c r="G26" s="12" t="s">
        <v>99</v>
      </c>
      <c r="J26">
        <f t="shared" si="0"/>
        <v>2</v>
      </c>
      <c r="L26">
        <f t="shared" si="1"/>
        <v>0</v>
      </c>
      <c r="N26">
        <f t="shared" si="2"/>
        <v>477428.57142857142</v>
      </c>
      <c r="P26" t="str">
        <f t="shared" si="3"/>
        <v>Abhishek Roy</v>
      </c>
      <c r="R26" t="str">
        <f t="shared" si="4"/>
        <v>Not Found</v>
      </c>
      <c r="T26" t="e">
        <f t="shared" si="5"/>
        <v>#N/A</v>
      </c>
    </row>
    <row r="27" spans="2:20" x14ac:dyDescent="0.3">
      <c r="B27" s="9" t="s">
        <v>100</v>
      </c>
      <c r="C27" s="9">
        <v>740000</v>
      </c>
      <c r="D27" s="9" t="s">
        <v>101</v>
      </c>
      <c r="E27" s="9" t="s">
        <v>102</v>
      </c>
      <c r="F27" s="9">
        <v>41000</v>
      </c>
      <c r="G27" s="10" t="s">
        <v>103</v>
      </c>
      <c r="J27">
        <f t="shared" si="0"/>
        <v>2</v>
      </c>
      <c r="L27">
        <f t="shared" si="1"/>
        <v>0</v>
      </c>
      <c r="N27">
        <f t="shared" si="2"/>
        <v>495333.33333333331</v>
      </c>
      <c r="P27" t="str">
        <f t="shared" si="3"/>
        <v>Komal Verma</v>
      </c>
      <c r="R27" t="str">
        <f t="shared" si="4"/>
        <v>Not Found</v>
      </c>
      <c r="T27" t="e">
        <f t="shared" si="5"/>
        <v>#N/A</v>
      </c>
    </row>
    <row r="28" spans="2:20" x14ac:dyDescent="0.3">
      <c r="B28" s="11" t="s">
        <v>104</v>
      </c>
      <c r="C28" s="11">
        <v>990000</v>
      </c>
      <c r="D28" s="11" t="s">
        <v>32</v>
      </c>
      <c r="E28" s="11" t="s">
        <v>105</v>
      </c>
      <c r="F28" s="11">
        <v>56000</v>
      </c>
      <c r="G28" s="12" t="s">
        <v>106</v>
      </c>
      <c r="J28">
        <f t="shared" si="0"/>
        <v>2</v>
      </c>
      <c r="L28">
        <f t="shared" si="1"/>
        <v>0</v>
      </c>
      <c r="N28">
        <f t="shared" si="2"/>
        <v>516300</v>
      </c>
      <c r="P28" t="str">
        <f t="shared" si="3"/>
        <v>Yash Patel</v>
      </c>
      <c r="R28" t="str">
        <f t="shared" si="4"/>
        <v>Not Found</v>
      </c>
      <c r="T28" t="e">
        <f t="shared" si="5"/>
        <v>#N/A</v>
      </c>
    </row>
    <row r="29" spans="2:20" x14ac:dyDescent="0.3">
      <c r="B29" s="9" t="s">
        <v>107</v>
      </c>
      <c r="C29" s="9">
        <v>580000</v>
      </c>
      <c r="D29" s="9" t="s">
        <v>108</v>
      </c>
      <c r="E29" s="9" t="s">
        <v>109</v>
      </c>
      <c r="F29" s="9">
        <v>39000</v>
      </c>
      <c r="G29" s="10" t="s">
        <v>110</v>
      </c>
      <c r="J29">
        <f t="shared" si="0"/>
        <v>2</v>
      </c>
      <c r="L29">
        <f t="shared" si="1"/>
        <v>0</v>
      </c>
      <c r="N29">
        <f t="shared" si="2"/>
        <v>514625</v>
      </c>
      <c r="P29" t="str">
        <f t="shared" si="3"/>
        <v>Isha Malhotra</v>
      </c>
      <c r="R29" t="str">
        <f t="shared" si="4"/>
        <v>Not Found</v>
      </c>
      <c r="T29" t="e">
        <f t="shared" si="5"/>
        <v>#N/A</v>
      </c>
    </row>
    <row r="30" spans="2:20" x14ac:dyDescent="0.3">
      <c r="B30" s="11" t="s">
        <v>111</v>
      </c>
      <c r="C30" s="11">
        <v>830000</v>
      </c>
      <c r="D30" s="11" t="s">
        <v>108</v>
      </c>
      <c r="E30" s="11" t="s">
        <v>112</v>
      </c>
      <c r="F30" s="11">
        <v>53000</v>
      </c>
      <c r="G30" s="12" t="s">
        <v>113</v>
      </c>
      <c r="J30">
        <f t="shared" si="0"/>
        <v>2</v>
      </c>
      <c r="L30">
        <f t="shared" si="1"/>
        <v>0</v>
      </c>
      <c r="N30">
        <f t="shared" si="2"/>
        <v>583000</v>
      </c>
      <c r="P30" t="str">
        <f t="shared" si="3"/>
        <v>Gaurav Singh</v>
      </c>
      <c r="R30" t="str">
        <f t="shared" si="4"/>
        <v>Not Found</v>
      </c>
      <c r="T30" t="e">
        <f t="shared" si="5"/>
        <v>#N/A</v>
      </c>
    </row>
    <row r="31" spans="2:20" x14ac:dyDescent="0.3">
      <c r="B31" s="9" t="s">
        <v>114</v>
      </c>
      <c r="C31" s="9">
        <v>1400000</v>
      </c>
      <c r="D31" s="9" t="s">
        <v>115</v>
      </c>
      <c r="E31" s="9" t="s">
        <v>116</v>
      </c>
      <c r="F31" s="9">
        <v>74000</v>
      </c>
      <c r="G31" s="10" t="s">
        <v>117</v>
      </c>
      <c r="J31">
        <f t="shared" si="0"/>
        <v>2</v>
      </c>
      <c r="L31">
        <f t="shared" si="1"/>
        <v>0</v>
      </c>
      <c r="N31">
        <f t="shared" si="2"/>
        <v>653750</v>
      </c>
      <c r="P31" t="e">
        <f t="shared" si="3"/>
        <v>#N/A</v>
      </c>
      <c r="R31" t="str">
        <f t="shared" si="4"/>
        <v>Not Found</v>
      </c>
      <c r="T31" t="e">
        <f t="shared" si="5"/>
        <v>#N/A</v>
      </c>
    </row>
    <row r="32" spans="2:20" x14ac:dyDescent="0.3">
      <c r="B32" s="13" t="s">
        <v>118</v>
      </c>
      <c r="C32" s="13">
        <v>1080000</v>
      </c>
      <c r="D32" s="13" t="s">
        <v>119</v>
      </c>
      <c r="E32" s="13" t="s">
        <v>120</v>
      </c>
      <c r="F32" s="13">
        <v>61000</v>
      </c>
      <c r="G32" s="14" t="s">
        <v>121</v>
      </c>
      <c r="J32">
        <f t="shared" si="0"/>
        <v>2</v>
      </c>
      <c r="L32">
        <f t="shared" si="1"/>
        <v>0</v>
      </c>
      <c r="N32">
        <f t="shared" si="2"/>
        <v>570500</v>
      </c>
      <c r="P32" t="e">
        <f t="shared" si="3"/>
        <v>#N/A</v>
      </c>
      <c r="R32" t="str">
        <f t="shared" si="4"/>
        <v>Not Found</v>
      </c>
      <c r="T32" t="e">
        <f t="shared" si="5"/>
        <v>#N/A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BAA8-F26D-4714-B1C8-329AFD163B73}">
  <dimension ref="B3:P33"/>
  <sheetViews>
    <sheetView tabSelected="1" topLeftCell="B1" workbookViewId="0">
      <selection activeCell="K20" sqref="K20"/>
    </sheetView>
  </sheetViews>
  <sheetFormatPr defaultRowHeight="14.4" x14ac:dyDescent="0.3"/>
  <cols>
    <col min="2" max="2" width="14.109375" customWidth="1"/>
    <col min="3" max="3" width="17.77734375" customWidth="1"/>
    <col min="4" max="4" width="13.33203125" customWidth="1"/>
    <col min="5" max="5" width="16.6640625" customWidth="1"/>
    <col min="6" max="6" width="11.109375" customWidth="1"/>
    <col min="7" max="7" width="11.6640625" customWidth="1"/>
    <col min="11" max="11" width="12.109375" customWidth="1"/>
  </cols>
  <sheetData>
    <row r="3" spans="2:16" ht="28.8" x14ac:dyDescent="0.3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  <c r="K3" s="6" t="s">
        <v>133</v>
      </c>
      <c r="M3" s="6" t="s">
        <v>134</v>
      </c>
      <c r="O3" s="6" t="s">
        <v>135</v>
      </c>
      <c r="P3" s="6"/>
    </row>
    <row r="4" spans="2:16" ht="28.8" x14ac:dyDescent="0.3">
      <c r="B4" s="9" t="s">
        <v>7</v>
      </c>
      <c r="C4" s="9">
        <v>850000</v>
      </c>
      <c r="D4" s="9" t="s">
        <v>8</v>
      </c>
      <c r="E4" s="9" t="s">
        <v>9</v>
      </c>
      <c r="F4" s="9">
        <v>45000</v>
      </c>
      <c r="G4" s="10" t="s">
        <v>10</v>
      </c>
      <c r="K4" t="str" cm="1">
        <f t="array" ref="K4">INDEX(E4:E33,M4)</f>
        <v>Gaurav Singh</v>
      </c>
      <c r="M4">
        <f>MATCH(B12,E4:E33)</f>
        <v>30</v>
      </c>
      <c r="O4">
        <f>INDEX(F2:F31,MATCH("EMP109",G2:G31,0))</f>
        <v>70000</v>
      </c>
    </row>
    <row r="5" spans="2:16" ht="28.8" x14ac:dyDescent="0.3">
      <c r="B5" s="11" t="s">
        <v>11</v>
      </c>
      <c r="C5" s="11">
        <v>1250000</v>
      </c>
      <c r="D5" s="11" t="s">
        <v>12</v>
      </c>
      <c r="E5" s="11" t="s">
        <v>13</v>
      </c>
      <c r="F5" s="11">
        <v>65000</v>
      </c>
      <c r="G5" s="12" t="s">
        <v>14</v>
      </c>
      <c r="K5" t="str" cm="1">
        <f t="array" ref="K5">INDEX(E5:E34,M5)</f>
        <v>Amit Verma</v>
      </c>
      <c r="M5">
        <f t="shared" ref="M5:M33" si="0">MATCH(B13,E5:E34)</f>
        <v>1</v>
      </c>
      <c r="O5">
        <f>INDEX(F3:F32,MATCH("EMP109",G3:G32,0))</f>
        <v>70000</v>
      </c>
    </row>
    <row r="6" spans="2:16" ht="28.8" x14ac:dyDescent="0.3">
      <c r="B6" s="9" t="s">
        <v>15</v>
      </c>
      <c r="C6" s="9">
        <v>950000</v>
      </c>
      <c r="D6" s="9" t="s">
        <v>16</v>
      </c>
      <c r="E6" s="9" t="s">
        <v>17</v>
      </c>
      <c r="F6" s="9">
        <v>55000</v>
      </c>
      <c r="G6" s="10" t="s">
        <v>18</v>
      </c>
      <c r="K6" t="e" cm="1">
        <f t="array" ref="K6">INDEX(E6:E35,M6)</f>
        <v>#N/A</v>
      </c>
      <c r="M6" t="e">
        <f t="shared" si="0"/>
        <v>#N/A</v>
      </c>
      <c r="O6">
        <f t="shared" ref="O6:O33" si="1">INDEX(F4:F33,MATCH("EMP109",G4:G33,0))</f>
        <v>70000</v>
      </c>
    </row>
    <row r="7" spans="2:16" ht="28.8" x14ac:dyDescent="0.3">
      <c r="B7" s="11" t="s">
        <v>19</v>
      </c>
      <c r="C7" s="11">
        <v>780000</v>
      </c>
      <c r="D7" s="11" t="s">
        <v>20</v>
      </c>
      <c r="E7" s="11" t="s">
        <v>21</v>
      </c>
      <c r="F7" s="11">
        <v>48000</v>
      </c>
      <c r="G7" s="12" t="s">
        <v>22</v>
      </c>
      <c r="K7" t="str" cm="1">
        <f t="array" ref="K7">INDEX(E7:E36,M7)</f>
        <v>Arjun Malhotra</v>
      </c>
      <c r="M7">
        <f t="shared" si="0"/>
        <v>7</v>
      </c>
      <c r="O7">
        <f t="shared" si="1"/>
        <v>70000</v>
      </c>
    </row>
    <row r="8" spans="2:16" ht="28.8" x14ac:dyDescent="0.3">
      <c r="B8" s="9" t="s">
        <v>23</v>
      </c>
      <c r="C8" s="9">
        <v>1100000</v>
      </c>
      <c r="D8" s="9" t="s">
        <v>24</v>
      </c>
      <c r="E8" s="9" t="s">
        <v>25</v>
      </c>
      <c r="F8" s="9">
        <v>60000</v>
      </c>
      <c r="G8" s="10" t="s">
        <v>26</v>
      </c>
      <c r="K8" t="str" cm="1">
        <f t="array" ref="K8">INDEX(E8:E37,M8)</f>
        <v>Anjali Gupta</v>
      </c>
      <c r="M8">
        <f t="shared" si="0"/>
        <v>3</v>
      </c>
      <c r="O8">
        <f t="shared" si="1"/>
        <v>70000</v>
      </c>
    </row>
    <row r="9" spans="2:16" ht="28.8" x14ac:dyDescent="0.3">
      <c r="B9" s="11" t="s">
        <v>27</v>
      </c>
      <c r="C9" s="11">
        <v>920000</v>
      </c>
      <c r="D9" s="11" t="s">
        <v>28</v>
      </c>
      <c r="E9" s="11" t="s">
        <v>29</v>
      </c>
      <c r="F9" s="11">
        <v>52000</v>
      </c>
      <c r="G9" s="12" t="s">
        <v>30</v>
      </c>
      <c r="K9" t="e" cm="1">
        <f t="array" ref="K9">INDEX(E9:E38,M9)</f>
        <v>#N/A</v>
      </c>
      <c r="M9" t="e">
        <f t="shared" si="0"/>
        <v>#N/A</v>
      </c>
      <c r="O9">
        <f t="shared" si="1"/>
        <v>70000</v>
      </c>
    </row>
    <row r="10" spans="2:16" ht="28.8" x14ac:dyDescent="0.3">
      <c r="B10" s="9" t="s">
        <v>31</v>
      </c>
      <c r="C10" s="9">
        <v>680000</v>
      </c>
      <c r="D10" s="9" t="s">
        <v>32</v>
      </c>
      <c r="E10" s="9" t="s">
        <v>33</v>
      </c>
      <c r="F10" s="9">
        <v>42000</v>
      </c>
      <c r="G10" s="10" t="s">
        <v>34</v>
      </c>
      <c r="K10" t="str" cm="1">
        <f t="array" ref="K10">INDEX(E10:E39,M10)</f>
        <v>Gaurav Singh</v>
      </c>
      <c r="M10">
        <f t="shared" si="0"/>
        <v>24</v>
      </c>
      <c r="O10">
        <f t="shared" si="1"/>
        <v>70000</v>
      </c>
    </row>
    <row r="11" spans="2:16" ht="28.8" x14ac:dyDescent="0.3">
      <c r="B11" s="11" t="s">
        <v>35</v>
      </c>
      <c r="C11" s="11">
        <v>720000</v>
      </c>
      <c r="D11" s="11" t="s">
        <v>36</v>
      </c>
      <c r="E11" s="11" t="s">
        <v>37</v>
      </c>
      <c r="F11" s="11">
        <v>46000</v>
      </c>
      <c r="G11" s="12" t="s">
        <v>38</v>
      </c>
      <c r="K11" t="str" cm="1">
        <f t="array" ref="K11">INDEX(E11:E40,M11)</f>
        <v>Gaurav Singh</v>
      </c>
      <c r="M11">
        <f t="shared" si="0"/>
        <v>23</v>
      </c>
      <c r="O11">
        <f t="shared" si="1"/>
        <v>70000</v>
      </c>
    </row>
    <row r="12" spans="2:16" ht="28.8" x14ac:dyDescent="0.3">
      <c r="B12" s="9" t="s">
        <v>39</v>
      </c>
      <c r="C12" s="9">
        <v>1350000</v>
      </c>
      <c r="D12" s="9" t="s">
        <v>8</v>
      </c>
      <c r="E12" s="9" t="s">
        <v>40</v>
      </c>
      <c r="F12" s="9">
        <v>70000</v>
      </c>
      <c r="G12" s="10" t="s">
        <v>41</v>
      </c>
      <c r="K12" t="str" cm="1">
        <f t="array" ref="K12">INDEX(E12:E41,M12)</f>
        <v>Gaurav Singh</v>
      </c>
      <c r="M12">
        <f t="shared" si="0"/>
        <v>22</v>
      </c>
      <c r="O12">
        <f t="shared" si="1"/>
        <v>70000</v>
      </c>
    </row>
    <row r="13" spans="2:16" ht="28.8" x14ac:dyDescent="0.3">
      <c r="B13" s="11" t="s">
        <v>42</v>
      </c>
      <c r="C13" s="11">
        <v>1050000</v>
      </c>
      <c r="D13" s="11" t="s">
        <v>43</v>
      </c>
      <c r="E13" s="11" t="s">
        <v>44</v>
      </c>
      <c r="F13" s="11">
        <v>58000</v>
      </c>
      <c r="G13" s="12" t="s">
        <v>45</v>
      </c>
      <c r="K13" t="str" cm="1">
        <f t="array" ref="K13">INDEX(E13:E42,M13)</f>
        <v>Deepak Mishra</v>
      </c>
      <c r="M13">
        <f t="shared" si="0"/>
        <v>3</v>
      </c>
      <c r="O13">
        <f t="shared" si="1"/>
        <v>70000</v>
      </c>
    </row>
    <row r="14" spans="2:16" ht="28.8" x14ac:dyDescent="0.3">
      <c r="B14" s="9" t="s">
        <v>46</v>
      </c>
      <c r="C14" s="9">
        <v>890000</v>
      </c>
      <c r="D14" s="9" t="s">
        <v>47</v>
      </c>
      <c r="E14" s="9" t="s">
        <v>48</v>
      </c>
      <c r="F14" s="9">
        <v>51000</v>
      </c>
      <c r="G14" s="10" t="s">
        <v>49</v>
      </c>
      <c r="K14" t="e" cm="1">
        <f t="array" ref="K14">INDEX(E14:E43,M14)</f>
        <v>#N/A</v>
      </c>
      <c r="M14" t="e">
        <f t="shared" si="0"/>
        <v>#N/A</v>
      </c>
      <c r="O14">
        <f t="shared" si="1"/>
        <v>70000</v>
      </c>
    </row>
    <row r="15" spans="2:16" ht="28.8" x14ac:dyDescent="0.3">
      <c r="B15" s="11" t="s">
        <v>50</v>
      </c>
      <c r="C15" s="11">
        <v>980000</v>
      </c>
      <c r="D15" s="11" t="s">
        <v>51</v>
      </c>
      <c r="E15" s="11" t="s">
        <v>52</v>
      </c>
      <c r="F15" s="11">
        <v>62000</v>
      </c>
      <c r="G15" s="12" t="s">
        <v>53</v>
      </c>
      <c r="K15" t="str" cm="1">
        <f t="array" ref="K15">INDEX(E15:E44,M15)</f>
        <v>Gaurav Singh</v>
      </c>
      <c r="M15">
        <f t="shared" si="0"/>
        <v>19</v>
      </c>
      <c r="O15" t="e">
        <f t="shared" si="1"/>
        <v>#N/A</v>
      </c>
    </row>
    <row r="16" spans="2:16" x14ac:dyDescent="0.3">
      <c r="B16" s="9" t="s">
        <v>54</v>
      </c>
      <c r="C16" s="9">
        <v>1150000</v>
      </c>
      <c r="D16" s="9" t="s">
        <v>55</v>
      </c>
      <c r="E16" s="9" t="s">
        <v>56</v>
      </c>
      <c r="F16" s="9">
        <v>57000</v>
      </c>
      <c r="G16" s="10" t="s">
        <v>57</v>
      </c>
      <c r="K16" t="e" cm="1">
        <f t="array" ref="K16">INDEX(E16:E45,M16)</f>
        <v>#N/A</v>
      </c>
      <c r="M16" t="e">
        <f t="shared" si="0"/>
        <v>#N/A</v>
      </c>
      <c r="O16" t="e">
        <f t="shared" si="1"/>
        <v>#N/A</v>
      </c>
    </row>
    <row r="17" spans="2:15" ht="28.8" x14ac:dyDescent="0.3">
      <c r="B17" s="11" t="s">
        <v>58</v>
      </c>
      <c r="C17" s="11">
        <v>1450000</v>
      </c>
      <c r="D17" s="11" t="s">
        <v>59</v>
      </c>
      <c r="E17" s="11" t="s">
        <v>60</v>
      </c>
      <c r="F17" s="11">
        <v>75000</v>
      </c>
      <c r="G17" s="12" t="s">
        <v>61</v>
      </c>
      <c r="K17" t="str" cm="1">
        <f t="array" ref="K17">INDEX(E17:E46,M17)</f>
        <v>Akash Thakur</v>
      </c>
      <c r="M17">
        <f t="shared" si="0"/>
        <v>7</v>
      </c>
      <c r="O17" t="e">
        <f t="shared" si="1"/>
        <v>#N/A</v>
      </c>
    </row>
    <row r="18" spans="2:15" x14ac:dyDescent="0.3">
      <c r="B18" s="9" t="s">
        <v>62</v>
      </c>
      <c r="C18" s="9">
        <v>820000</v>
      </c>
      <c r="D18" s="9" t="s">
        <v>63</v>
      </c>
      <c r="E18" s="9" t="s">
        <v>64</v>
      </c>
      <c r="F18" s="9">
        <v>49000</v>
      </c>
      <c r="G18" s="10" t="s">
        <v>65</v>
      </c>
      <c r="K18" t="str" cm="1">
        <f t="array" ref="K18">INDEX(E18:E47,M18)</f>
        <v>Gaurav Singh</v>
      </c>
      <c r="M18">
        <f t="shared" si="0"/>
        <v>16</v>
      </c>
      <c r="O18" t="e">
        <f t="shared" si="1"/>
        <v>#N/A</v>
      </c>
    </row>
    <row r="19" spans="2:15" x14ac:dyDescent="0.3">
      <c r="B19" s="11" t="s">
        <v>66</v>
      </c>
      <c r="C19" s="11">
        <v>650000</v>
      </c>
      <c r="D19" s="11" t="s">
        <v>67</v>
      </c>
      <c r="E19" s="11" t="s">
        <v>68</v>
      </c>
      <c r="F19" s="11">
        <v>40000</v>
      </c>
      <c r="G19" s="12" t="s">
        <v>69</v>
      </c>
      <c r="K19" t="str" cm="1">
        <f t="array" ref="K19">INDEX(E19:E48,M19)</f>
        <v>Gaurav Singh</v>
      </c>
      <c r="M19">
        <f t="shared" si="0"/>
        <v>15</v>
      </c>
      <c r="O19" t="e">
        <f t="shared" si="1"/>
        <v>#N/A</v>
      </c>
    </row>
    <row r="20" spans="2:15" x14ac:dyDescent="0.3">
      <c r="B20" s="9" t="s">
        <v>70</v>
      </c>
      <c r="C20" s="9">
        <v>710000</v>
      </c>
      <c r="D20" s="9" t="s">
        <v>67</v>
      </c>
      <c r="E20" s="9" t="s">
        <v>71</v>
      </c>
      <c r="F20" s="9">
        <v>43000</v>
      </c>
      <c r="G20" s="10" t="s">
        <v>72</v>
      </c>
      <c r="K20" t="e" cm="1">
        <f t="array" ref="K20">INDEX(E20:E49,M20)</f>
        <v>#N/A</v>
      </c>
      <c r="M20" t="e">
        <f t="shared" si="0"/>
        <v>#N/A</v>
      </c>
      <c r="O20" t="e">
        <f t="shared" si="1"/>
        <v>#N/A</v>
      </c>
    </row>
    <row r="21" spans="2:15" x14ac:dyDescent="0.3">
      <c r="B21" s="11" t="s">
        <v>73</v>
      </c>
      <c r="C21" s="11">
        <v>1200000</v>
      </c>
      <c r="D21" s="11" t="s">
        <v>74</v>
      </c>
      <c r="E21" s="11" t="s">
        <v>75</v>
      </c>
      <c r="F21" s="11">
        <v>68000</v>
      </c>
      <c r="G21" s="12" t="s">
        <v>76</v>
      </c>
      <c r="K21" t="str" cm="1">
        <f t="array" ref="K21">INDEX(E21:E50,M21)</f>
        <v>Komal Verma</v>
      </c>
      <c r="M21">
        <f t="shared" si="0"/>
        <v>10</v>
      </c>
      <c r="O21" t="e">
        <f t="shared" si="1"/>
        <v>#N/A</v>
      </c>
    </row>
    <row r="22" spans="2:15" x14ac:dyDescent="0.3">
      <c r="B22" s="9" t="s">
        <v>77</v>
      </c>
      <c r="C22" s="9">
        <v>1550000</v>
      </c>
      <c r="D22" s="9" t="s">
        <v>78</v>
      </c>
      <c r="E22" s="9" t="s">
        <v>79</v>
      </c>
      <c r="F22" s="9">
        <v>80000</v>
      </c>
      <c r="G22" s="10" t="s">
        <v>80</v>
      </c>
      <c r="K22" t="str" cm="1">
        <f t="array" ref="K22">INDEX(E22:E51,M22)</f>
        <v>Mohit Agarwal</v>
      </c>
      <c r="M22">
        <f t="shared" si="0"/>
        <v>6</v>
      </c>
      <c r="O22" t="e">
        <f t="shared" si="1"/>
        <v>#N/A</v>
      </c>
    </row>
    <row r="23" spans="2:15" x14ac:dyDescent="0.3">
      <c r="B23" s="11" t="s">
        <v>81</v>
      </c>
      <c r="C23" s="11">
        <v>1300000</v>
      </c>
      <c r="D23" s="11" t="s">
        <v>82</v>
      </c>
      <c r="E23" s="11" t="s">
        <v>83</v>
      </c>
      <c r="F23" s="11">
        <v>72000</v>
      </c>
      <c r="G23" s="12" t="s">
        <v>84</v>
      </c>
      <c r="K23" t="str" cm="1">
        <f t="array" ref="K23">INDEX(E23:E52,M23)</f>
        <v>Gaurav Singh</v>
      </c>
      <c r="M23">
        <f t="shared" si="0"/>
        <v>11</v>
      </c>
      <c r="O23" t="e">
        <f t="shared" si="1"/>
        <v>#N/A</v>
      </c>
    </row>
    <row r="24" spans="2:15" x14ac:dyDescent="0.3">
      <c r="B24" s="9" t="s">
        <v>85</v>
      </c>
      <c r="C24" s="9">
        <v>1600000</v>
      </c>
      <c r="D24" s="9" t="s">
        <v>82</v>
      </c>
      <c r="E24" s="9" t="s">
        <v>86</v>
      </c>
      <c r="F24" s="9">
        <v>85000</v>
      </c>
      <c r="G24" s="10" t="s">
        <v>87</v>
      </c>
      <c r="K24" t="str" cm="1">
        <f t="array" ref="K24">INDEX(E24:E53,M24)</f>
        <v>Divya Sharma</v>
      </c>
      <c r="M24">
        <f t="shared" si="0"/>
        <v>3</v>
      </c>
      <c r="O24" t="e">
        <f t="shared" si="1"/>
        <v>#N/A</v>
      </c>
    </row>
    <row r="25" spans="2:15" x14ac:dyDescent="0.3">
      <c r="B25" s="11" t="s">
        <v>88</v>
      </c>
      <c r="C25" s="11">
        <v>870000</v>
      </c>
      <c r="D25" s="11" t="s">
        <v>89</v>
      </c>
      <c r="E25" s="11" t="s">
        <v>90</v>
      </c>
      <c r="F25" s="11">
        <v>47000</v>
      </c>
      <c r="G25" s="12" t="s">
        <v>91</v>
      </c>
      <c r="K25" t="str" cm="1">
        <f t="array" ref="K25">INDEX(E25:E54,M25)</f>
        <v>Komal Verma</v>
      </c>
      <c r="M25">
        <f t="shared" si="0"/>
        <v>6</v>
      </c>
      <c r="O25" t="e">
        <f t="shared" si="1"/>
        <v>#N/A</v>
      </c>
    </row>
    <row r="26" spans="2:15" x14ac:dyDescent="0.3">
      <c r="B26" s="9" t="s">
        <v>92</v>
      </c>
      <c r="C26" s="9">
        <v>760000</v>
      </c>
      <c r="D26" s="9" t="s">
        <v>93</v>
      </c>
      <c r="E26" s="9" t="s">
        <v>94</v>
      </c>
      <c r="F26" s="9">
        <v>44000</v>
      </c>
      <c r="G26" s="10" t="s">
        <v>95</v>
      </c>
      <c r="K26" t="e" cm="1">
        <f t="array" ref="K26">INDEX(E26:E55,M26)</f>
        <v>#N/A</v>
      </c>
      <c r="M26" t="e">
        <f t="shared" si="0"/>
        <v>#N/A</v>
      </c>
      <c r="O26" t="e">
        <f t="shared" si="1"/>
        <v>#N/A</v>
      </c>
    </row>
    <row r="27" spans="2:15" ht="28.8" x14ac:dyDescent="0.3">
      <c r="B27" s="11" t="s">
        <v>96</v>
      </c>
      <c r="C27" s="11">
        <v>690000</v>
      </c>
      <c r="D27" s="11" t="s">
        <v>97</v>
      </c>
      <c r="E27" s="11" t="s">
        <v>98</v>
      </c>
      <c r="F27" s="11">
        <v>50000</v>
      </c>
      <c r="G27" s="12" t="s">
        <v>99</v>
      </c>
      <c r="K27" t="e" cm="1">
        <f t="array" ref="K27">INDEX(E27:E56,M27)</f>
        <v>#N/A</v>
      </c>
      <c r="M27" t="e">
        <f t="shared" si="0"/>
        <v>#N/A</v>
      </c>
      <c r="O27" t="e">
        <f t="shared" si="1"/>
        <v>#N/A</v>
      </c>
    </row>
    <row r="28" spans="2:15" x14ac:dyDescent="0.3">
      <c r="B28" s="9" t="s">
        <v>100</v>
      </c>
      <c r="C28" s="9">
        <v>740000</v>
      </c>
      <c r="D28" s="9" t="s">
        <v>101</v>
      </c>
      <c r="E28" s="9" t="s">
        <v>102</v>
      </c>
      <c r="F28" s="9">
        <v>41000</v>
      </c>
      <c r="G28" s="10" t="s">
        <v>103</v>
      </c>
      <c r="K28" t="e" cm="1">
        <f t="array" ref="K28">INDEX(E28:E57,M28)</f>
        <v>#N/A</v>
      </c>
      <c r="M28" t="e">
        <f t="shared" si="0"/>
        <v>#N/A</v>
      </c>
      <c r="O28" t="e">
        <f t="shared" si="1"/>
        <v>#N/A</v>
      </c>
    </row>
    <row r="29" spans="2:15" x14ac:dyDescent="0.3">
      <c r="B29" s="11" t="s">
        <v>104</v>
      </c>
      <c r="C29" s="11">
        <v>990000</v>
      </c>
      <c r="D29" s="11" t="s">
        <v>32</v>
      </c>
      <c r="E29" s="11" t="s">
        <v>105</v>
      </c>
      <c r="F29" s="11">
        <v>56000</v>
      </c>
      <c r="G29" s="12" t="s">
        <v>106</v>
      </c>
      <c r="K29" t="e" cm="1">
        <f t="array" ref="K29">INDEX(E29:E58,M29)</f>
        <v>#N/A</v>
      </c>
      <c r="M29" t="e">
        <f t="shared" si="0"/>
        <v>#N/A</v>
      </c>
      <c r="O29" t="e">
        <f t="shared" si="1"/>
        <v>#N/A</v>
      </c>
    </row>
    <row r="30" spans="2:15" ht="28.8" x14ac:dyDescent="0.3">
      <c r="B30" s="9" t="s">
        <v>107</v>
      </c>
      <c r="C30" s="9">
        <v>580000</v>
      </c>
      <c r="D30" s="9" t="s">
        <v>108</v>
      </c>
      <c r="E30" s="9" t="s">
        <v>109</v>
      </c>
      <c r="F30" s="9">
        <v>39000</v>
      </c>
      <c r="G30" s="10" t="s">
        <v>110</v>
      </c>
      <c r="K30" t="e" cm="1">
        <f t="array" ref="K30">INDEX(E30:E59,M30)</f>
        <v>#N/A</v>
      </c>
      <c r="M30" t="e">
        <f t="shared" si="0"/>
        <v>#N/A</v>
      </c>
      <c r="O30" t="e">
        <f t="shared" si="1"/>
        <v>#N/A</v>
      </c>
    </row>
    <row r="31" spans="2:15" ht="28.8" x14ac:dyDescent="0.3">
      <c r="B31" s="11" t="s">
        <v>111</v>
      </c>
      <c r="C31" s="11">
        <v>830000</v>
      </c>
      <c r="D31" s="11" t="s">
        <v>108</v>
      </c>
      <c r="E31" s="11" t="s">
        <v>112</v>
      </c>
      <c r="F31" s="11">
        <v>53000</v>
      </c>
      <c r="G31" s="12" t="s">
        <v>113</v>
      </c>
      <c r="K31" t="e" cm="1">
        <f t="array" ref="K31">INDEX(E31:E60,M31)</f>
        <v>#N/A</v>
      </c>
      <c r="M31" t="e">
        <f t="shared" si="0"/>
        <v>#N/A</v>
      </c>
      <c r="O31" t="e">
        <f t="shared" si="1"/>
        <v>#N/A</v>
      </c>
    </row>
    <row r="32" spans="2:15" x14ac:dyDescent="0.3">
      <c r="B32" s="9" t="s">
        <v>114</v>
      </c>
      <c r="C32" s="9">
        <v>1400000</v>
      </c>
      <c r="D32" s="9" t="s">
        <v>115</v>
      </c>
      <c r="E32" s="9" t="s">
        <v>116</v>
      </c>
      <c r="F32" s="9">
        <v>74000</v>
      </c>
      <c r="G32" s="10" t="s">
        <v>117</v>
      </c>
      <c r="K32" t="e" cm="1">
        <f t="array" ref="K32">INDEX(E32:E61,M32)</f>
        <v>#N/A</v>
      </c>
      <c r="M32" t="e">
        <f t="shared" si="0"/>
        <v>#N/A</v>
      </c>
      <c r="O32" t="e">
        <f t="shared" si="1"/>
        <v>#N/A</v>
      </c>
    </row>
    <row r="33" spans="2:15" ht="28.8" x14ac:dyDescent="0.3">
      <c r="B33" s="13" t="s">
        <v>118</v>
      </c>
      <c r="C33" s="13">
        <v>1080000</v>
      </c>
      <c r="D33" s="13" t="s">
        <v>119</v>
      </c>
      <c r="E33" s="13" t="s">
        <v>120</v>
      </c>
      <c r="F33" s="13">
        <v>61000</v>
      </c>
      <c r="G33" s="14" t="s">
        <v>121</v>
      </c>
      <c r="K33" t="e" cm="1">
        <f t="array" ref="K33">INDEX(E33:E62,M33)</f>
        <v>#N/A</v>
      </c>
      <c r="M33" t="e">
        <f t="shared" si="0"/>
        <v>#N/A</v>
      </c>
      <c r="O33" t="e">
        <f t="shared" si="1"/>
        <v>#N/A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73EE-E28F-4008-9282-CC44B2BD0978}">
  <dimension ref="B1:P31"/>
  <sheetViews>
    <sheetView topLeftCell="B1" workbookViewId="0">
      <selection activeCell="B1" sqref="B1:G31"/>
    </sheetView>
  </sheetViews>
  <sheetFormatPr defaultRowHeight="14.4" x14ac:dyDescent="0.3"/>
  <cols>
    <col min="2" max="2" width="15.33203125" customWidth="1"/>
    <col min="3" max="3" width="12" customWidth="1"/>
    <col min="4" max="4" width="13.77734375" customWidth="1"/>
    <col min="5" max="5" width="13.109375" customWidth="1"/>
    <col min="6" max="6" width="14" customWidth="1"/>
    <col min="7" max="7" width="13.109375" customWidth="1"/>
    <col min="13" max="13" width="10.33203125" customWidth="1"/>
    <col min="14" max="14" width="20.77734375" customWidth="1"/>
    <col min="15" max="15" width="16.5546875" customWidth="1"/>
    <col min="16" max="16" width="12.88671875" customWidth="1"/>
  </cols>
  <sheetData>
    <row r="1" spans="2:16" ht="28.8" x14ac:dyDescent="0.3"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J1" s="17" t="s">
        <v>136</v>
      </c>
      <c r="K1" s="17" t="s">
        <v>137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</row>
    <row r="2" spans="2:16" ht="28.8" x14ac:dyDescent="0.3">
      <c r="B2" s="9" t="s">
        <v>7</v>
      </c>
      <c r="C2" s="9">
        <v>850000</v>
      </c>
      <c r="D2" s="9" t="s">
        <v>8</v>
      </c>
      <c r="E2" s="9" t="s">
        <v>9</v>
      </c>
      <c r="F2" s="9">
        <v>45000</v>
      </c>
      <c r="G2" s="10" t="s">
        <v>10</v>
      </c>
      <c r="J2" t="str">
        <f>LEFT(G2,3)</f>
        <v>EMP</v>
      </c>
      <c r="K2" t="str">
        <f>RIGHT(G2,3)</f>
        <v>101</v>
      </c>
      <c r="L2" t="str">
        <f>MID(B2,4,5)</f>
        <v>a Mot</v>
      </c>
      <c r="M2">
        <f>LEN(D2)</f>
        <v>4</v>
      </c>
      <c r="N2" t="str">
        <f>UPPER(B2)</f>
        <v>TATA MOTORS</v>
      </c>
      <c r="O2" t="str">
        <f>PROPER(D2)</f>
        <v>Cars</v>
      </c>
      <c r="P2" t="str">
        <f>TRIM(E2)</f>
        <v>Rahul Sharma</v>
      </c>
    </row>
    <row r="3" spans="2:16" ht="28.8" x14ac:dyDescent="0.3">
      <c r="B3" s="11" t="s">
        <v>11</v>
      </c>
      <c r="C3" s="11">
        <v>1250000</v>
      </c>
      <c r="D3" s="11" t="s">
        <v>12</v>
      </c>
      <c r="E3" s="11" t="s">
        <v>13</v>
      </c>
      <c r="F3" s="11">
        <v>65000</v>
      </c>
      <c r="G3" s="12" t="s">
        <v>14</v>
      </c>
      <c r="J3" t="str">
        <f t="shared" ref="J3:J31" si="0">LEFT(G3,3)</f>
        <v>EMP</v>
      </c>
      <c r="K3" t="str">
        <f t="shared" ref="K3:K31" si="1">RIGHT(G3,3)</f>
        <v>102</v>
      </c>
      <c r="L3" t="str">
        <f t="shared" ref="L3:L31" si="2">MID(B3,4,5)</f>
        <v>iance</v>
      </c>
      <c r="M3">
        <f t="shared" ref="M3:M31" si="3">LEN(D3)</f>
        <v>11</v>
      </c>
      <c r="N3" t="str">
        <f t="shared" ref="N3:N31" si="4">UPPER(B3)</f>
        <v>RELIANCE INDUSTRIES</v>
      </c>
      <c r="O3" t="str">
        <f t="shared" ref="O3:O31" si="5">PROPER(D3)</f>
        <v>Electronics</v>
      </c>
      <c r="P3" t="str">
        <f t="shared" ref="P3:P31" si="6">TRIM(E3)</f>
        <v>Amit Verma</v>
      </c>
    </row>
    <row r="4" spans="2:16" ht="28.8" x14ac:dyDescent="0.3">
      <c r="B4" s="9" t="s">
        <v>15</v>
      </c>
      <c r="C4" s="9">
        <v>950000</v>
      </c>
      <c r="D4" s="9" t="s">
        <v>16</v>
      </c>
      <c r="E4" s="9" t="s">
        <v>17</v>
      </c>
      <c r="F4" s="9">
        <v>55000</v>
      </c>
      <c r="G4" s="10" t="s">
        <v>18</v>
      </c>
      <c r="J4" t="str">
        <f t="shared" si="0"/>
        <v>EMP</v>
      </c>
      <c r="K4" t="str">
        <f t="shared" si="1"/>
        <v>103</v>
      </c>
      <c r="L4" t="str">
        <f t="shared" si="2"/>
        <v>osys</v>
      </c>
      <c r="M4">
        <f t="shared" si="3"/>
        <v>8</v>
      </c>
      <c r="N4" t="str">
        <f t="shared" si="4"/>
        <v>INFOSYS</v>
      </c>
      <c r="O4" t="str">
        <f t="shared" si="5"/>
        <v>Software</v>
      </c>
      <c r="P4" t="str">
        <f t="shared" si="6"/>
        <v>Priya Singh</v>
      </c>
    </row>
    <row r="5" spans="2:16" ht="28.8" x14ac:dyDescent="0.3">
      <c r="B5" s="11" t="s">
        <v>19</v>
      </c>
      <c r="C5" s="11">
        <v>780000</v>
      </c>
      <c r="D5" s="11" t="s">
        <v>20</v>
      </c>
      <c r="E5" s="11" t="s">
        <v>21</v>
      </c>
      <c r="F5" s="11">
        <v>48000</v>
      </c>
      <c r="G5" s="12" t="s">
        <v>22</v>
      </c>
      <c r="J5" t="str">
        <f t="shared" si="0"/>
        <v>EMP</v>
      </c>
      <c r="K5" t="str">
        <f t="shared" si="1"/>
        <v>104</v>
      </c>
      <c r="L5" t="str">
        <f t="shared" si="2"/>
        <v>ro</v>
      </c>
      <c r="M5">
        <f t="shared" si="3"/>
        <v>9</v>
      </c>
      <c r="N5" t="str">
        <f t="shared" si="4"/>
        <v>WIPRO</v>
      </c>
      <c r="O5" t="str">
        <f t="shared" si="5"/>
        <v>Computers</v>
      </c>
      <c r="P5" t="str">
        <f t="shared" si="6"/>
        <v>Rohit Kumar</v>
      </c>
    </row>
    <row r="6" spans="2:16" ht="28.8" x14ac:dyDescent="0.3">
      <c r="B6" s="9" t="s">
        <v>23</v>
      </c>
      <c r="C6" s="9">
        <v>1100000</v>
      </c>
      <c r="D6" s="9" t="s">
        <v>24</v>
      </c>
      <c r="E6" s="9" t="s">
        <v>25</v>
      </c>
      <c r="F6" s="9">
        <v>60000</v>
      </c>
      <c r="G6" s="10" t="s">
        <v>26</v>
      </c>
      <c r="J6" t="str">
        <f t="shared" si="0"/>
        <v>EMP</v>
      </c>
      <c r="K6" t="str">
        <f t="shared" si="1"/>
        <v>105</v>
      </c>
      <c r="L6" t="str">
        <f t="shared" si="2"/>
        <v>C Ban</v>
      </c>
      <c r="M6">
        <f t="shared" si="3"/>
        <v>16</v>
      </c>
      <c r="N6" t="str">
        <f t="shared" si="4"/>
        <v>HDFC BANK</v>
      </c>
      <c r="O6" t="str">
        <f t="shared" si="5"/>
        <v>Banking Services</v>
      </c>
      <c r="P6" t="str">
        <f t="shared" si="6"/>
        <v>Neha Patel</v>
      </c>
    </row>
    <row r="7" spans="2:16" ht="28.8" x14ac:dyDescent="0.3">
      <c r="B7" s="11" t="s">
        <v>27</v>
      </c>
      <c r="C7" s="11">
        <v>920000</v>
      </c>
      <c r="D7" s="11" t="s">
        <v>28</v>
      </c>
      <c r="E7" s="11" t="s">
        <v>29</v>
      </c>
      <c r="F7" s="11">
        <v>52000</v>
      </c>
      <c r="G7" s="12" t="s">
        <v>30</v>
      </c>
      <c r="J7" t="str">
        <f t="shared" si="0"/>
        <v>EMP</v>
      </c>
      <c r="K7" t="str">
        <f t="shared" si="1"/>
        <v>106</v>
      </c>
      <c r="L7" t="str">
        <f t="shared" si="2"/>
        <v>indra</v>
      </c>
      <c r="M7">
        <f t="shared" si="3"/>
        <v>4</v>
      </c>
      <c r="N7" t="str">
        <f t="shared" si="4"/>
        <v>MAHINDRA</v>
      </c>
      <c r="O7" t="str">
        <f t="shared" si="5"/>
        <v>Suvs</v>
      </c>
      <c r="P7" t="str">
        <f t="shared" si="6"/>
        <v>Karan Mehta</v>
      </c>
    </row>
    <row r="8" spans="2:16" ht="28.8" x14ac:dyDescent="0.3">
      <c r="B8" s="9" t="s">
        <v>31</v>
      </c>
      <c r="C8" s="9">
        <v>680000</v>
      </c>
      <c r="D8" s="9" t="s">
        <v>32</v>
      </c>
      <c r="E8" s="9" t="s">
        <v>33</v>
      </c>
      <c r="F8" s="9">
        <v>42000</v>
      </c>
      <c r="G8" s="10" t="s">
        <v>34</v>
      </c>
      <c r="J8" t="str">
        <f t="shared" si="0"/>
        <v>EMP</v>
      </c>
      <c r="K8" t="str">
        <f t="shared" si="1"/>
        <v>107</v>
      </c>
      <c r="L8" t="str">
        <f t="shared" si="2"/>
        <v xml:space="preserve"> Limi</v>
      </c>
      <c r="M8">
        <f t="shared" si="3"/>
        <v>13</v>
      </c>
      <c r="N8" t="str">
        <f t="shared" si="4"/>
        <v>ITC LIMITED</v>
      </c>
      <c r="O8" t="str">
        <f t="shared" si="5"/>
        <v>Food Products</v>
      </c>
      <c r="P8" t="str">
        <f t="shared" si="6"/>
        <v>Anjali Gupta</v>
      </c>
    </row>
    <row r="9" spans="2:16" ht="28.8" x14ac:dyDescent="0.3">
      <c r="B9" s="11" t="s">
        <v>35</v>
      </c>
      <c r="C9" s="11">
        <v>720000</v>
      </c>
      <c r="D9" s="11" t="s">
        <v>36</v>
      </c>
      <c r="E9" s="11" t="s">
        <v>37</v>
      </c>
      <c r="F9" s="11">
        <v>46000</v>
      </c>
      <c r="G9" s="12" t="s">
        <v>38</v>
      </c>
      <c r="J9" t="str">
        <f t="shared" si="0"/>
        <v>EMP</v>
      </c>
      <c r="K9" t="str">
        <f t="shared" si="1"/>
        <v>108</v>
      </c>
      <c r="L9" t="str">
        <f t="shared" si="2"/>
        <v>an Pa</v>
      </c>
      <c r="M9">
        <f t="shared" si="3"/>
        <v>6</v>
      </c>
      <c r="N9" t="str">
        <f t="shared" si="4"/>
        <v>ASIAN PAINTS</v>
      </c>
      <c r="O9" t="str">
        <f t="shared" si="5"/>
        <v>Paints</v>
      </c>
      <c r="P9" t="str">
        <f t="shared" si="6"/>
        <v>Vikas Yadav</v>
      </c>
    </row>
    <row r="10" spans="2:16" ht="28.8" x14ac:dyDescent="0.3">
      <c r="B10" s="9" t="s">
        <v>39</v>
      </c>
      <c r="C10" s="9">
        <v>1350000</v>
      </c>
      <c r="D10" s="9" t="s">
        <v>8</v>
      </c>
      <c r="E10" s="9" t="s">
        <v>40</v>
      </c>
      <c r="F10" s="9">
        <v>70000</v>
      </c>
      <c r="G10" s="10" t="s">
        <v>41</v>
      </c>
      <c r="J10" t="str">
        <f t="shared" si="0"/>
        <v>EMP</v>
      </c>
      <c r="K10" t="str">
        <f t="shared" si="1"/>
        <v>109</v>
      </c>
      <c r="L10" t="str">
        <f t="shared" si="2"/>
        <v>uti S</v>
      </c>
      <c r="M10">
        <f t="shared" si="3"/>
        <v>4</v>
      </c>
      <c r="N10" t="str">
        <f t="shared" si="4"/>
        <v>MARUTI SUZUKI</v>
      </c>
      <c r="O10" t="str">
        <f t="shared" si="5"/>
        <v>Cars</v>
      </c>
      <c r="P10" t="str">
        <f t="shared" si="6"/>
        <v>Sneha Joshi</v>
      </c>
    </row>
    <row r="11" spans="2:16" ht="28.8" x14ac:dyDescent="0.3">
      <c r="B11" s="11" t="s">
        <v>42</v>
      </c>
      <c r="C11" s="11">
        <v>1050000</v>
      </c>
      <c r="D11" s="11" t="s">
        <v>43</v>
      </c>
      <c r="E11" s="11" t="s">
        <v>44</v>
      </c>
      <c r="F11" s="11">
        <v>58000</v>
      </c>
      <c r="G11" s="12" t="s">
        <v>45</v>
      </c>
      <c r="J11" t="str">
        <f t="shared" si="0"/>
        <v>EMP</v>
      </c>
      <c r="K11" t="str">
        <f t="shared" si="1"/>
        <v>110</v>
      </c>
      <c r="L11" t="str">
        <f t="shared" si="2"/>
        <v>dusta</v>
      </c>
      <c r="M11">
        <f t="shared" si="3"/>
        <v>4</v>
      </c>
      <c r="N11" t="str">
        <f t="shared" si="4"/>
        <v>HINDUSTAN UNILEVER</v>
      </c>
      <c r="O11" t="str">
        <f t="shared" si="5"/>
        <v>Fmcg</v>
      </c>
      <c r="P11" t="str">
        <f t="shared" si="6"/>
        <v>Arjun Malhotra</v>
      </c>
    </row>
    <row r="12" spans="2:16" ht="28.8" x14ac:dyDescent="0.3">
      <c r="B12" s="9" t="s">
        <v>46</v>
      </c>
      <c r="C12" s="9">
        <v>890000</v>
      </c>
      <c r="D12" s="9" t="s">
        <v>47</v>
      </c>
      <c r="E12" s="9" t="s">
        <v>48</v>
      </c>
      <c r="F12" s="9">
        <v>51000</v>
      </c>
      <c r="G12" s="10" t="s">
        <v>49</v>
      </c>
      <c r="J12" t="str">
        <f t="shared" si="0"/>
        <v>EMP</v>
      </c>
      <c r="K12" t="str">
        <f t="shared" si="1"/>
        <v>111</v>
      </c>
      <c r="L12" t="str">
        <f t="shared" si="2"/>
        <v>rti A</v>
      </c>
      <c r="M12">
        <f t="shared" si="3"/>
        <v>7</v>
      </c>
      <c r="N12" t="str">
        <f t="shared" si="4"/>
        <v>BHARTI AIRTEL</v>
      </c>
      <c r="O12" t="str">
        <f t="shared" si="5"/>
        <v>Telecom</v>
      </c>
      <c r="P12" t="str">
        <f t="shared" si="6"/>
        <v>Pooja Shah</v>
      </c>
    </row>
    <row r="13" spans="2:16" ht="28.8" x14ac:dyDescent="0.3">
      <c r="B13" s="11" t="s">
        <v>50</v>
      </c>
      <c r="C13" s="11">
        <v>980000</v>
      </c>
      <c r="D13" s="11" t="s">
        <v>51</v>
      </c>
      <c r="E13" s="11" t="s">
        <v>52</v>
      </c>
      <c r="F13" s="11">
        <v>62000</v>
      </c>
      <c r="G13" s="12" t="s">
        <v>53</v>
      </c>
      <c r="J13" t="str">
        <f t="shared" si="0"/>
        <v>EMP</v>
      </c>
      <c r="K13" t="str">
        <f t="shared" si="1"/>
        <v>112</v>
      </c>
      <c r="L13" t="str">
        <f t="shared" si="2"/>
        <v>aj Fi</v>
      </c>
      <c r="M13">
        <f t="shared" si="3"/>
        <v>18</v>
      </c>
      <c r="N13" t="str">
        <f t="shared" si="4"/>
        <v>BAJAJ FINANCE</v>
      </c>
      <c r="O13" t="str">
        <f t="shared" si="5"/>
        <v>Financial Services</v>
      </c>
      <c r="P13" t="str">
        <f t="shared" si="6"/>
        <v>Deepak Mishra</v>
      </c>
    </row>
    <row r="14" spans="2:16" x14ac:dyDescent="0.3">
      <c r="B14" s="9" t="s">
        <v>54</v>
      </c>
      <c r="C14" s="9">
        <v>1150000</v>
      </c>
      <c r="D14" s="9" t="s">
        <v>55</v>
      </c>
      <c r="E14" s="9" t="s">
        <v>56</v>
      </c>
      <c r="F14" s="9">
        <v>57000</v>
      </c>
      <c r="G14" s="10" t="s">
        <v>57</v>
      </c>
      <c r="J14" t="str">
        <f t="shared" si="0"/>
        <v>EMP</v>
      </c>
      <c r="K14" t="str">
        <f t="shared" si="1"/>
        <v>113</v>
      </c>
      <c r="L14" t="str">
        <f t="shared" si="2"/>
        <v>sen &amp;</v>
      </c>
      <c r="M14">
        <f t="shared" si="3"/>
        <v>12</v>
      </c>
      <c r="N14" t="str">
        <f t="shared" si="4"/>
        <v>LARSEN &amp; TOUBRO</v>
      </c>
      <c r="O14" t="str">
        <f t="shared" si="5"/>
        <v>Construction</v>
      </c>
      <c r="P14" t="str">
        <f t="shared" si="6"/>
        <v>Simran Kaur</v>
      </c>
    </row>
    <row r="15" spans="2:16" x14ac:dyDescent="0.3">
      <c r="B15" s="11" t="s">
        <v>58</v>
      </c>
      <c r="C15" s="11">
        <v>1450000</v>
      </c>
      <c r="D15" s="11" t="s">
        <v>59</v>
      </c>
      <c r="E15" s="11" t="s">
        <v>60</v>
      </c>
      <c r="F15" s="11">
        <v>75000</v>
      </c>
      <c r="G15" s="12" t="s">
        <v>61</v>
      </c>
      <c r="J15" t="str">
        <f t="shared" si="0"/>
        <v>EMP</v>
      </c>
      <c r="K15" t="str">
        <f t="shared" si="1"/>
        <v>114</v>
      </c>
      <c r="L15" t="str">
        <f t="shared" si="2"/>
        <v>ni En</v>
      </c>
      <c r="M15">
        <f t="shared" si="3"/>
        <v>14</v>
      </c>
      <c r="N15" t="str">
        <f t="shared" si="4"/>
        <v>ADANI ENTERPRISES</v>
      </c>
      <c r="O15" t="str">
        <f t="shared" si="5"/>
        <v>Infrastructure</v>
      </c>
      <c r="P15" t="str">
        <f t="shared" si="6"/>
        <v>Manish Jain</v>
      </c>
    </row>
    <row r="16" spans="2:16" x14ac:dyDescent="0.3">
      <c r="B16" s="9" t="s">
        <v>62</v>
      </c>
      <c r="C16" s="9">
        <v>820000</v>
      </c>
      <c r="D16" s="9" t="s">
        <v>63</v>
      </c>
      <c r="E16" s="9" t="s">
        <v>64</v>
      </c>
      <c r="F16" s="9">
        <v>49000</v>
      </c>
      <c r="G16" s="10" t="s">
        <v>65</v>
      </c>
      <c r="J16" t="str">
        <f t="shared" si="0"/>
        <v>EMP</v>
      </c>
      <c r="K16" t="str">
        <f t="shared" si="1"/>
        <v>115</v>
      </c>
      <c r="L16" t="str">
        <f t="shared" si="2"/>
        <v>h Mah</v>
      </c>
      <c r="M16">
        <f t="shared" si="3"/>
        <v>11</v>
      </c>
      <c r="N16" t="str">
        <f t="shared" si="4"/>
        <v>TECH MAHINDRA</v>
      </c>
      <c r="O16" t="str">
        <f t="shared" si="5"/>
        <v>It Services</v>
      </c>
      <c r="P16" t="str">
        <f t="shared" si="6"/>
        <v>Kavita Rao</v>
      </c>
    </row>
    <row r="17" spans="2:16" x14ac:dyDescent="0.3">
      <c r="B17" s="11" t="s">
        <v>66</v>
      </c>
      <c r="C17" s="11">
        <v>650000</v>
      </c>
      <c r="D17" s="11" t="s">
        <v>67</v>
      </c>
      <c r="E17" s="11" t="s">
        <v>68</v>
      </c>
      <c r="F17" s="11">
        <v>40000</v>
      </c>
      <c r="G17" s="12" t="s">
        <v>69</v>
      </c>
      <c r="J17" t="str">
        <f t="shared" si="0"/>
        <v>EMP</v>
      </c>
      <c r="K17" t="str">
        <f t="shared" si="1"/>
        <v>116</v>
      </c>
      <c r="L17" t="str">
        <f t="shared" si="2"/>
        <v>ato</v>
      </c>
      <c r="M17">
        <f t="shared" si="3"/>
        <v>13</v>
      </c>
      <c r="N17" t="str">
        <f t="shared" si="4"/>
        <v>ZOMATO</v>
      </c>
      <c r="O17" t="str">
        <f t="shared" si="5"/>
        <v>Food Delivery</v>
      </c>
      <c r="P17" t="str">
        <f t="shared" si="6"/>
        <v>Nikhil Das</v>
      </c>
    </row>
    <row r="18" spans="2:16" x14ac:dyDescent="0.3">
      <c r="B18" s="9" t="s">
        <v>70</v>
      </c>
      <c r="C18" s="9">
        <v>710000</v>
      </c>
      <c r="D18" s="9" t="s">
        <v>67</v>
      </c>
      <c r="E18" s="9" t="s">
        <v>71</v>
      </c>
      <c r="F18" s="9">
        <v>43000</v>
      </c>
      <c r="G18" s="10" t="s">
        <v>72</v>
      </c>
      <c r="J18" t="str">
        <f t="shared" si="0"/>
        <v>EMP</v>
      </c>
      <c r="K18" t="str">
        <f t="shared" si="1"/>
        <v>117</v>
      </c>
      <c r="L18" t="str">
        <f t="shared" si="2"/>
        <v>ggy</v>
      </c>
      <c r="M18">
        <f t="shared" si="3"/>
        <v>13</v>
      </c>
      <c r="N18" t="str">
        <f t="shared" si="4"/>
        <v>SWIGGY</v>
      </c>
      <c r="O18" t="str">
        <f t="shared" si="5"/>
        <v>Food Delivery</v>
      </c>
      <c r="P18" t="str">
        <f t="shared" si="6"/>
        <v>Riya Kapoor</v>
      </c>
    </row>
    <row r="19" spans="2:16" x14ac:dyDescent="0.3">
      <c r="B19" s="11" t="s">
        <v>73</v>
      </c>
      <c r="C19" s="11">
        <v>1200000</v>
      </c>
      <c r="D19" s="11" t="s">
        <v>74</v>
      </c>
      <c r="E19" s="11" t="s">
        <v>75</v>
      </c>
      <c r="F19" s="11">
        <v>68000</v>
      </c>
      <c r="G19" s="12" t="s">
        <v>76</v>
      </c>
      <c r="J19" t="str">
        <f t="shared" si="0"/>
        <v>EMP</v>
      </c>
      <c r="K19" t="str">
        <f t="shared" si="1"/>
        <v>118</v>
      </c>
      <c r="L19" t="str">
        <f t="shared" si="2"/>
        <v>pkart</v>
      </c>
      <c r="M19">
        <f t="shared" si="3"/>
        <v>10</v>
      </c>
      <c r="N19" t="str">
        <f t="shared" si="4"/>
        <v>FLIPKART</v>
      </c>
      <c r="O19" t="str">
        <f t="shared" si="5"/>
        <v>E-Commerce</v>
      </c>
      <c r="P19" t="str">
        <f t="shared" si="6"/>
        <v>Varun Sethi</v>
      </c>
    </row>
    <row r="20" spans="2:16" x14ac:dyDescent="0.3">
      <c r="B20" s="9" t="s">
        <v>77</v>
      </c>
      <c r="C20" s="9">
        <v>1550000</v>
      </c>
      <c r="D20" s="9" t="s">
        <v>78</v>
      </c>
      <c r="E20" s="9" t="s">
        <v>79</v>
      </c>
      <c r="F20" s="9">
        <v>80000</v>
      </c>
      <c r="G20" s="10" t="s">
        <v>80</v>
      </c>
      <c r="J20" t="str">
        <f t="shared" si="0"/>
        <v>EMP</v>
      </c>
      <c r="K20" t="str">
        <f t="shared" si="1"/>
        <v>119</v>
      </c>
      <c r="L20" t="str">
        <f t="shared" si="2"/>
        <v>zon I</v>
      </c>
      <c r="M20">
        <f t="shared" si="3"/>
        <v>13</v>
      </c>
      <c r="N20" t="str">
        <f t="shared" si="4"/>
        <v>AMAZON INDIA</v>
      </c>
      <c r="O20" t="str">
        <f t="shared" si="5"/>
        <v>Online Retail</v>
      </c>
      <c r="P20" t="str">
        <f t="shared" si="6"/>
        <v>Tanya Roy</v>
      </c>
    </row>
    <row r="21" spans="2:16" x14ac:dyDescent="0.3">
      <c r="B21" s="11" t="s">
        <v>81</v>
      </c>
      <c r="C21" s="11">
        <v>1300000</v>
      </c>
      <c r="D21" s="11" t="s">
        <v>82</v>
      </c>
      <c r="E21" s="11" t="s">
        <v>83</v>
      </c>
      <c r="F21" s="11">
        <v>72000</v>
      </c>
      <c r="G21" s="12" t="s">
        <v>84</v>
      </c>
      <c r="J21" t="str">
        <f t="shared" si="0"/>
        <v>EMP</v>
      </c>
      <c r="K21" t="str">
        <f t="shared" si="1"/>
        <v>120</v>
      </c>
      <c r="L21" t="str">
        <f t="shared" si="2"/>
        <v xml:space="preserve">sung </v>
      </c>
      <c r="M21">
        <f t="shared" si="3"/>
        <v>11</v>
      </c>
      <c r="N21" t="str">
        <f t="shared" si="4"/>
        <v>SAMSUNG INDIA</v>
      </c>
      <c r="O21" t="str">
        <f t="shared" si="5"/>
        <v>Smartphones</v>
      </c>
      <c r="P21" t="str">
        <f t="shared" si="6"/>
        <v>Akash Thakur</v>
      </c>
    </row>
    <row r="22" spans="2:16" x14ac:dyDescent="0.3">
      <c r="B22" s="9" t="s">
        <v>85</v>
      </c>
      <c r="C22" s="9">
        <v>1600000</v>
      </c>
      <c r="D22" s="9" t="s">
        <v>82</v>
      </c>
      <c r="E22" s="9" t="s">
        <v>86</v>
      </c>
      <c r="F22" s="9">
        <v>85000</v>
      </c>
      <c r="G22" s="10" t="s">
        <v>87</v>
      </c>
      <c r="J22" t="str">
        <f t="shared" si="0"/>
        <v>EMP</v>
      </c>
      <c r="K22" t="str">
        <f t="shared" si="1"/>
        <v>121</v>
      </c>
      <c r="L22" t="str">
        <f t="shared" si="2"/>
        <v>le In</v>
      </c>
      <c r="M22">
        <f t="shared" si="3"/>
        <v>11</v>
      </c>
      <c r="N22" t="str">
        <f t="shared" si="4"/>
        <v>APPLE INDIA</v>
      </c>
      <c r="O22" t="str">
        <f t="shared" si="5"/>
        <v>Smartphones</v>
      </c>
      <c r="P22" t="str">
        <f t="shared" si="6"/>
        <v>Meera Nair</v>
      </c>
    </row>
    <row r="23" spans="2:16" x14ac:dyDescent="0.3">
      <c r="B23" s="11" t="s">
        <v>88</v>
      </c>
      <c r="C23" s="11">
        <v>870000</v>
      </c>
      <c r="D23" s="11" t="s">
        <v>89</v>
      </c>
      <c r="E23" s="11" t="s">
        <v>90</v>
      </c>
      <c r="F23" s="11">
        <v>47000</v>
      </c>
      <c r="G23" s="12" t="s">
        <v>91</v>
      </c>
      <c r="J23" t="str">
        <f t="shared" si="0"/>
        <v>EMP</v>
      </c>
      <c r="K23" t="str">
        <f t="shared" si="1"/>
        <v>122</v>
      </c>
      <c r="L23" t="str">
        <f t="shared" si="2"/>
        <v>o Mot</v>
      </c>
      <c r="M23">
        <f t="shared" si="3"/>
        <v>11</v>
      </c>
      <c r="N23" t="str">
        <f t="shared" si="4"/>
        <v>HERO MOTOCORP</v>
      </c>
      <c r="O23" t="str">
        <f t="shared" si="5"/>
        <v>Motorcycles</v>
      </c>
      <c r="P23" t="str">
        <f t="shared" si="6"/>
        <v>Saurabh Jain</v>
      </c>
    </row>
    <row r="24" spans="2:16" x14ac:dyDescent="0.3">
      <c r="B24" s="9" t="s">
        <v>92</v>
      </c>
      <c r="C24" s="9">
        <v>760000</v>
      </c>
      <c r="D24" s="9" t="s">
        <v>93</v>
      </c>
      <c r="E24" s="9" t="s">
        <v>94</v>
      </c>
      <c r="F24" s="9">
        <v>44000</v>
      </c>
      <c r="G24" s="10" t="s">
        <v>95</v>
      </c>
      <c r="J24" t="str">
        <f t="shared" si="0"/>
        <v>EMP</v>
      </c>
      <c r="K24" t="str">
        <f t="shared" si="1"/>
        <v>123</v>
      </c>
      <c r="L24" t="str">
        <f t="shared" si="2"/>
        <v xml:space="preserve"> Moto</v>
      </c>
      <c r="M24">
        <f t="shared" si="3"/>
        <v>8</v>
      </c>
      <c r="N24" t="str">
        <f t="shared" si="4"/>
        <v>TVS MOTORS</v>
      </c>
      <c r="O24" t="str">
        <f t="shared" si="5"/>
        <v>Scooters</v>
      </c>
      <c r="P24" t="str">
        <f t="shared" si="6"/>
        <v>Divya Sharma</v>
      </c>
    </row>
    <row r="25" spans="2:16" ht="28.8" x14ac:dyDescent="0.3">
      <c r="B25" s="11" t="s">
        <v>96</v>
      </c>
      <c r="C25" s="11">
        <v>690000</v>
      </c>
      <c r="D25" s="11" t="s">
        <v>97</v>
      </c>
      <c r="E25" s="11" t="s">
        <v>98</v>
      </c>
      <c r="F25" s="11">
        <v>50000</v>
      </c>
      <c r="G25" s="12" t="s">
        <v>99</v>
      </c>
      <c r="J25" t="str">
        <f t="shared" si="0"/>
        <v>EMP</v>
      </c>
      <c r="K25" t="str">
        <f t="shared" si="1"/>
        <v>124</v>
      </c>
      <c r="L25" t="str">
        <f t="shared" si="2"/>
        <v>rej I</v>
      </c>
      <c r="M25">
        <f t="shared" si="3"/>
        <v>15</v>
      </c>
      <c r="N25" t="str">
        <f t="shared" si="4"/>
        <v>GODREJ INDUSTRIES</v>
      </c>
      <c r="O25" t="str">
        <f t="shared" si="5"/>
        <v>Home Appliances</v>
      </c>
      <c r="P25" t="str">
        <f t="shared" si="6"/>
        <v>Mohit Agarwal</v>
      </c>
    </row>
    <row r="26" spans="2:16" x14ac:dyDescent="0.3">
      <c r="B26" s="9" t="s">
        <v>100</v>
      </c>
      <c r="C26" s="9">
        <v>740000</v>
      </c>
      <c r="D26" s="9" t="s">
        <v>101</v>
      </c>
      <c r="E26" s="9" t="s">
        <v>102</v>
      </c>
      <c r="F26" s="9">
        <v>41000</v>
      </c>
      <c r="G26" s="10" t="s">
        <v>103</v>
      </c>
      <c r="J26" t="str">
        <f t="shared" si="0"/>
        <v>EMP</v>
      </c>
      <c r="K26" t="str">
        <f t="shared" si="1"/>
        <v>125</v>
      </c>
      <c r="L26" t="str">
        <f t="shared" si="2"/>
        <v>tanni</v>
      </c>
      <c r="M26">
        <f t="shared" si="3"/>
        <v>8</v>
      </c>
      <c r="N26" t="str">
        <f t="shared" si="4"/>
        <v>BRITANNIA</v>
      </c>
      <c r="O26" t="str">
        <f t="shared" si="5"/>
        <v>Biscuits</v>
      </c>
      <c r="P26" t="str">
        <f t="shared" si="6"/>
        <v>Shreya Ghosh</v>
      </c>
    </row>
    <row r="27" spans="2:16" x14ac:dyDescent="0.3">
      <c r="B27" s="11" t="s">
        <v>104</v>
      </c>
      <c r="C27" s="11">
        <v>990000</v>
      </c>
      <c r="D27" s="11" t="s">
        <v>32</v>
      </c>
      <c r="E27" s="11" t="s">
        <v>105</v>
      </c>
      <c r="F27" s="11">
        <v>56000</v>
      </c>
      <c r="G27" s="12" t="s">
        <v>106</v>
      </c>
      <c r="J27" t="str">
        <f t="shared" si="0"/>
        <v>EMP</v>
      </c>
      <c r="K27" t="str">
        <f t="shared" si="1"/>
        <v>126</v>
      </c>
      <c r="L27" t="str">
        <f t="shared" si="2"/>
        <v>tlé I</v>
      </c>
      <c r="M27">
        <f t="shared" si="3"/>
        <v>13</v>
      </c>
      <c r="N27" t="str">
        <f t="shared" si="4"/>
        <v>NESTLÉ INDIA</v>
      </c>
      <c r="O27" t="str">
        <f t="shared" si="5"/>
        <v>Food Products</v>
      </c>
      <c r="P27" t="str">
        <f t="shared" si="6"/>
        <v>Abhishek Roy</v>
      </c>
    </row>
    <row r="28" spans="2:16" ht="28.8" x14ac:dyDescent="0.3">
      <c r="B28" s="9" t="s">
        <v>107</v>
      </c>
      <c r="C28" s="9">
        <v>580000</v>
      </c>
      <c r="D28" s="9" t="s">
        <v>108</v>
      </c>
      <c r="E28" s="9" t="s">
        <v>109</v>
      </c>
      <c r="F28" s="9">
        <v>39000</v>
      </c>
      <c r="G28" s="10" t="s">
        <v>110</v>
      </c>
      <c r="J28" t="str">
        <f t="shared" si="0"/>
        <v>EMP</v>
      </c>
      <c r="K28" t="str">
        <f t="shared" si="1"/>
        <v>127</v>
      </c>
      <c r="L28" t="str">
        <f t="shared" si="2"/>
        <v>tm</v>
      </c>
      <c r="M28">
        <f t="shared" si="3"/>
        <v>16</v>
      </c>
      <c r="N28" t="str">
        <f t="shared" si="4"/>
        <v>PAYTM</v>
      </c>
      <c r="O28" t="str">
        <f t="shared" si="5"/>
        <v>Digital Payments</v>
      </c>
      <c r="P28" t="str">
        <f t="shared" si="6"/>
        <v>Komal Verma</v>
      </c>
    </row>
    <row r="29" spans="2:16" ht="28.8" x14ac:dyDescent="0.3">
      <c r="B29" s="11" t="s">
        <v>111</v>
      </c>
      <c r="C29" s="11">
        <v>830000</v>
      </c>
      <c r="D29" s="11" t="s">
        <v>108</v>
      </c>
      <c r="E29" s="11" t="s">
        <v>112</v>
      </c>
      <c r="F29" s="11">
        <v>53000</v>
      </c>
      <c r="G29" s="12" t="s">
        <v>113</v>
      </c>
      <c r="J29" t="str">
        <f t="shared" si="0"/>
        <v>EMP</v>
      </c>
      <c r="K29" t="str">
        <f t="shared" si="1"/>
        <v>128</v>
      </c>
      <c r="L29" t="str">
        <f t="shared" si="2"/>
        <v>nePe</v>
      </c>
      <c r="M29">
        <f t="shared" si="3"/>
        <v>16</v>
      </c>
      <c r="N29" t="str">
        <f t="shared" si="4"/>
        <v>PHONEPE</v>
      </c>
      <c r="O29" t="str">
        <f t="shared" si="5"/>
        <v>Digital Payments</v>
      </c>
      <c r="P29" t="str">
        <f t="shared" si="6"/>
        <v>Yash Patel</v>
      </c>
    </row>
    <row r="30" spans="2:16" x14ac:dyDescent="0.3">
      <c r="B30" s="9" t="s">
        <v>114</v>
      </c>
      <c r="C30" s="9">
        <v>1400000</v>
      </c>
      <c r="D30" s="9" t="s">
        <v>115</v>
      </c>
      <c r="E30" s="9" t="s">
        <v>116</v>
      </c>
      <c r="F30" s="9">
        <v>74000</v>
      </c>
      <c r="G30" s="10" t="s">
        <v>117</v>
      </c>
      <c r="J30" t="str">
        <f t="shared" si="0"/>
        <v>EMP</v>
      </c>
      <c r="K30" t="str">
        <f t="shared" si="1"/>
        <v>129</v>
      </c>
      <c r="L30" t="str">
        <f t="shared" si="2"/>
        <v>igo A</v>
      </c>
      <c r="M30">
        <f t="shared" si="3"/>
        <v>10</v>
      </c>
      <c r="N30" t="str">
        <f t="shared" si="4"/>
        <v>INDIGO AIRLINES</v>
      </c>
      <c r="O30" t="str">
        <f t="shared" si="5"/>
        <v>Air Travel</v>
      </c>
      <c r="P30" t="str">
        <f t="shared" si="6"/>
        <v>Isha Malhotra</v>
      </c>
    </row>
    <row r="31" spans="2:16" ht="28.8" x14ac:dyDescent="0.3">
      <c r="B31" s="13" t="s">
        <v>118</v>
      </c>
      <c r="C31" s="13">
        <v>1080000</v>
      </c>
      <c r="D31" s="13" t="s">
        <v>119</v>
      </c>
      <c r="E31" s="13" t="s">
        <v>120</v>
      </c>
      <c r="F31" s="13">
        <v>61000</v>
      </c>
      <c r="G31" s="14" t="s">
        <v>121</v>
      </c>
      <c r="J31" t="str">
        <f t="shared" si="0"/>
        <v>EMP</v>
      </c>
      <c r="K31" t="str">
        <f t="shared" si="1"/>
        <v>130</v>
      </c>
      <c r="L31" t="str">
        <f t="shared" si="2"/>
        <v>raTec</v>
      </c>
      <c r="M31">
        <f t="shared" si="3"/>
        <v>6</v>
      </c>
      <c r="N31" t="str">
        <f t="shared" si="4"/>
        <v>ULTRATECH CEMENT</v>
      </c>
      <c r="O31" t="str">
        <f t="shared" si="5"/>
        <v>Cement</v>
      </c>
      <c r="P31" t="str">
        <f t="shared" si="6"/>
        <v>Gaurav Singh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4DE3-DC26-4EC6-9C76-4E876F7B0012}">
  <dimension ref="B1:K31"/>
  <sheetViews>
    <sheetView workbookViewId="0">
      <selection activeCell="M6" sqref="M6"/>
    </sheetView>
  </sheetViews>
  <sheetFormatPr defaultRowHeight="14.4" x14ac:dyDescent="0.3"/>
  <cols>
    <col min="2" max="2" width="12.88671875" customWidth="1"/>
    <col min="3" max="3" width="13.44140625" customWidth="1"/>
    <col min="4" max="4" width="14.77734375" customWidth="1"/>
    <col min="5" max="5" width="15.5546875" customWidth="1"/>
    <col min="6" max="6" width="10.33203125" customWidth="1"/>
    <col min="7" max="7" width="10.44140625" customWidth="1"/>
  </cols>
  <sheetData>
    <row r="1" spans="2:11" ht="28.8" x14ac:dyDescent="0.3"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J1" s="17" t="s">
        <v>143</v>
      </c>
      <c r="K1" s="17" t="s">
        <v>144</v>
      </c>
    </row>
    <row r="2" spans="2:11" x14ac:dyDescent="0.3">
      <c r="B2" s="9" t="s">
        <v>7</v>
      </c>
      <c r="C2" s="9">
        <v>850000</v>
      </c>
      <c r="D2" s="9" t="s">
        <v>8</v>
      </c>
      <c r="E2" s="9" t="s">
        <v>9</v>
      </c>
      <c r="F2" s="9">
        <v>45000</v>
      </c>
      <c r="G2" s="10" t="s">
        <v>10</v>
      </c>
      <c r="J2" t="str" cm="1">
        <f t="array" aca="1" ref="J2" ca="1">INDIRECT("b2")</f>
        <v>Tata Motors</v>
      </c>
      <c r="K2">
        <f ca="1">OFFSET(F2,1,0)</f>
        <v>65000</v>
      </c>
    </row>
    <row r="3" spans="2:11" ht="28.8" x14ac:dyDescent="0.3">
      <c r="B3" s="11" t="s">
        <v>11</v>
      </c>
      <c r="C3" s="11">
        <v>1250000</v>
      </c>
      <c r="D3" s="11" t="s">
        <v>12</v>
      </c>
      <c r="E3" s="11" t="s">
        <v>13</v>
      </c>
      <c r="F3" s="11">
        <v>65000</v>
      </c>
      <c r="G3" s="12" t="s">
        <v>14</v>
      </c>
      <c r="J3" t="str" cm="1">
        <f t="array" aca="1" ref="J3" ca="1">INDIRECT("b2")</f>
        <v>Tata Motors</v>
      </c>
      <c r="K3">
        <f ca="1">OFFSET(F3,1,0)</f>
        <v>55000</v>
      </c>
    </row>
    <row r="4" spans="2:11" ht="28.8" x14ac:dyDescent="0.3">
      <c r="B4" s="9" t="s">
        <v>15</v>
      </c>
      <c r="C4" s="9">
        <v>950000</v>
      </c>
      <c r="D4" s="9" t="s">
        <v>16</v>
      </c>
      <c r="E4" s="9" t="s">
        <v>17</v>
      </c>
      <c r="F4" s="9">
        <v>55000</v>
      </c>
      <c r="G4" s="10" t="s">
        <v>18</v>
      </c>
      <c r="J4" t="str" cm="1">
        <f t="array" aca="1" ref="J4" ca="1">INDIRECT("b2")</f>
        <v>Tata Motors</v>
      </c>
      <c r="K4">
        <f t="shared" ref="K4:K30" ca="1" si="0">OFFSET(F4,1,0)</f>
        <v>48000</v>
      </c>
    </row>
    <row r="5" spans="2:11" ht="28.8" x14ac:dyDescent="0.3">
      <c r="B5" s="11" t="s">
        <v>19</v>
      </c>
      <c r="C5" s="11">
        <v>780000</v>
      </c>
      <c r="D5" s="11" t="s">
        <v>20</v>
      </c>
      <c r="E5" s="11" t="s">
        <v>21</v>
      </c>
      <c r="F5" s="11">
        <v>48000</v>
      </c>
      <c r="G5" s="12" t="s">
        <v>22</v>
      </c>
      <c r="J5" t="str" cm="1">
        <f t="array" aca="1" ref="J5" ca="1">INDIRECT("b2")</f>
        <v>Tata Motors</v>
      </c>
      <c r="K5">
        <f t="shared" ca="1" si="0"/>
        <v>60000</v>
      </c>
    </row>
    <row r="6" spans="2:11" ht="28.8" x14ac:dyDescent="0.3">
      <c r="B6" s="9" t="s">
        <v>23</v>
      </c>
      <c r="C6" s="9">
        <v>1100000</v>
      </c>
      <c r="D6" s="9" t="s">
        <v>24</v>
      </c>
      <c r="E6" s="9" t="s">
        <v>25</v>
      </c>
      <c r="F6" s="9">
        <v>60000</v>
      </c>
      <c r="G6" s="10" t="s">
        <v>26</v>
      </c>
      <c r="J6" t="str" cm="1">
        <f t="array" aca="1" ref="J6" ca="1">INDIRECT("b2")</f>
        <v>Tata Motors</v>
      </c>
      <c r="K6">
        <f t="shared" ca="1" si="0"/>
        <v>52000</v>
      </c>
    </row>
    <row r="7" spans="2:11" ht="28.8" x14ac:dyDescent="0.3">
      <c r="B7" s="11" t="s">
        <v>27</v>
      </c>
      <c r="C7" s="11">
        <v>920000</v>
      </c>
      <c r="D7" s="11" t="s">
        <v>28</v>
      </c>
      <c r="E7" s="11" t="s">
        <v>29</v>
      </c>
      <c r="F7" s="11">
        <v>52000</v>
      </c>
      <c r="G7" s="12" t="s">
        <v>30</v>
      </c>
      <c r="J7" t="str" cm="1">
        <f t="array" aca="1" ref="J7" ca="1">INDIRECT("b2")</f>
        <v>Tata Motors</v>
      </c>
      <c r="K7">
        <f t="shared" ca="1" si="0"/>
        <v>42000</v>
      </c>
    </row>
    <row r="8" spans="2:11" ht="28.8" x14ac:dyDescent="0.3">
      <c r="B8" s="9" t="s">
        <v>31</v>
      </c>
      <c r="C8" s="9">
        <v>680000</v>
      </c>
      <c r="D8" s="9" t="s">
        <v>32</v>
      </c>
      <c r="E8" s="9" t="s">
        <v>33</v>
      </c>
      <c r="F8" s="9">
        <v>42000</v>
      </c>
      <c r="G8" s="10" t="s">
        <v>34</v>
      </c>
      <c r="J8" t="str" cm="1">
        <f t="array" aca="1" ref="J8" ca="1">INDIRECT("b2")</f>
        <v>Tata Motors</v>
      </c>
      <c r="K8">
        <f t="shared" ca="1" si="0"/>
        <v>46000</v>
      </c>
    </row>
    <row r="9" spans="2:11" ht="28.8" x14ac:dyDescent="0.3">
      <c r="B9" s="11" t="s">
        <v>35</v>
      </c>
      <c r="C9" s="11">
        <v>720000</v>
      </c>
      <c r="D9" s="11" t="s">
        <v>36</v>
      </c>
      <c r="E9" s="11" t="s">
        <v>37</v>
      </c>
      <c r="F9" s="11">
        <v>46000</v>
      </c>
      <c r="G9" s="12" t="s">
        <v>38</v>
      </c>
      <c r="J9" t="str" cm="1">
        <f t="array" aca="1" ref="J9" ca="1">INDIRECT("b2")</f>
        <v>Tata Motors</v>
      </c>
      <c r="K9">
        <f t="shared" ca="1" si="0"/>
        <v>70000</v>
      </c>
    </row>
    <row r="10" spans="2:11" ht="28.8" x14ac:dyDescent="0.3">
      <c r="B10" s="9" t="s">
        <v>39</v>
      </c>
      <c r="C10" s="9">
        <v>1350000</v>
      </c>
      <c r="D10" s="9" t="s">
        <v>8</v>
      </c>
      <c r="E10" s="9" t="s">
        <v>40</v>
      </c>
      <c r="F10" s="9">
        <v>70000</v>
      </c>
      <c r="G10" s="10" t="s">
        <v>41</v>
      </c>
      <c r="J10" t="str" cm="1">
        <f t="array" aca="1" ref="J10" ca="1">INDIRECT("b2")</f>
        <v>Tata Motors</v>
      </c>
      <c r="K10">
        <f t="shared" ca="1" si="0"/>
        <v>58000</v>
      </c>
    </row>
    <row r="11" spans="2:11" ht="28.8" x14ac:dyDescent="0.3">
      <c r="B11" s="11" t="s">
        <v>42</v>
      </c>
      <c r="C11" s="11">
        <v>1050000</v>
      </c>
      <c r="D11" s="11" t="s">
        <v>43</v>
      </c>
      <c r="E11" s="11" t="s">
        <v>44</v>
      </c>
      <c r="F11" s="11">
        <v>58000</v>
      </c>
      <c r="G11" s="12" t="s">
        <v>45</v>
      </c>
      <c r="J11" t="str" cm="1">
        <f t="array" aca="1" ref="J11" ca="1">INDIRECT("b2")</f>
        <v>Tata Motors</v>
      </c>
      <c r="K11">
        <f t="shared" ca="1" si="0"/>
        <v>51000</v>
      </c>
    </row>
    <row r="12" spans="2:11" ht="28.8" x14ac:dyDescent="0.3">
      <c r="B12" s="9" t="s">
        <v>46</v>
      </c>
      <c r="C12" s="9">
        <v>890000</v>
      </c>
      <c r="D12" s="9" t="s">
        <v>47</v>
      </c>
      <c r="E12" s="9" t="s">
        <v>48</v>
      </c>
      <c r="F12" s="9">
        <v>51000</v>
      </c>
      <c r="G12" s="10" t="s">
        <v>49</v>
      </c>
      <c r="J12" t="str" cm="1">
        <f t="array" aca="1" ref="J12" ca="1">INDIRECT("b2")</f>
        <v>Tata Motors</v>
      </c>
      <c r="K12">
        <f t="shared" ca="1" si="0"/>
        <v>62000</v>
      </c>
    </row>
    <row r="13" spans="2:11" ht="28.8" x14ac:dyDescent="0.3">
      <c r="B13" s="11" t="s">
        <v>50</v>
      </c>
      <c r="C13" s="11">
        <v>980000</v>
      </c>
      <c r="D13" s="11" t="s">
        <v>51</v>
      </c>
      <c r="E13" s="11" t="s">
        <v>52</v>
      </c>
      <c r="F13" s="11">
        <v>62000</v>
      </c>
      <c r="G13" s="12" t="s">
        <v>53</v>
      </c>
      <c r="J13" t="str" cm="1">
        <f t="array" aca="1" ref="J13" ca="1">INDIRECT("b2")</f>
        <v>Tata Motors</v>
      </c>
      <c r="K13">
        <f t="shared" ca="1" si="0"/>
        <v>57000</v>
      </c>
    </row>
    <row r="14" spans="2:11" ht="28.8" x14ac:dyDescent="0.3">
      <c r="B14" s="9" t="s">
        <v>54</v>
      </c>
      <c r="C14" s="9">
        <v>1150000</v>
      </c>
      <c r="D14" s="9" t="s">
        <v>55</v>
      </c>
      <c r="E14" s="9" t="s">
        <v>56</v>
      </c>
      <c r="F14" s="9">
        <v>57000</v>
      </c>
      <c r="G14" s="10" t="s">
        <v>57</v>
      </c>
      <c r="J14" t="str" cm="1">
        <f t="array" aca="1" ref="J14" ca="1">INDIRECT("b2")</f>
        <v>Tata Motors</v>
      </c>
      <c r="K14">
        <f t="shared" ca="1" si="0"/>
        <v>75000</v>
      </c>
    </row>
    <row r="15" spans="2:11" ht="28.8" x14ac:dyDescent="0.3">
      <c r="B15" s="11" t="s">
        <v>58</v>
      </c>
      <c r="C15" s="11">
        <v>1450000</v>
      </c>
      <c r="D15" s="11" t="s">
        <v>59</v>
      </c>
      <c r="E15" s="11" t="s">
        <v>60</v>
      </c>
      <c r="F15" s="11">
        <v>75000</v>
      </c>
      <c r="G15" s="12" t="s">
        <v>61</v>
      </c>
      <c r="J15" t="str" cm="1">
        <f t="array" aca="1" ref="J15" ca="1">INDIRECT("b2")</f>
        <v>Tata Motors</v>
      </c>
      <c r="K15">
        <f t="shared" ca="1" si="0"/>
        <v>49000</v>
      </c>
    </row>
    <row r="16" spans="2:11" x14ac:dyDescent="0.3">
      <c r="B16" s="9" t="s">
        <v>62</v>
      </c>
      <c r="C16" s="9">
        <v>820000</v>
      </c>
      <c r="D16" s="9" t="s">
        <v>63</v>
      </c>
      <c r="E16" s="9" t="s">
        <v>64</v>
      </c>
      <c r="F16" s="9">
        <v>49000</v>
      </c>
      <c r="G16" s="10" t="s">
        <v>65</v>
      </c>
      <c r="J16" t="str" cm="1">
        <f t="array" aca="1" ref="J16" ca="1">INDIRECT("b2")</f>
        <v>Tata Motors</v>
      </c>
      <c r="K16">
        <f t="shared" ca="1" si="0"/>
        <v>40000</v>
      </c>
    </row>
    <row r="17" spans="2:11" x14ac:dyDescent="0.3">
      <c r="B17" s="11" t="s">
        <v>66</v>
      </c>
      <c r="C17" s="11">
        <v>650000</v>
      </c>
      <c r="D17" s="11" t="s">
        <v>67</v>
      </c>
      <c r="E17" s="11" t="s">
        <v>68</v>
      </c>
      <c r="F17" s="11">
        <v>40000</v>
      </c>
      <c r="G17" s="12" t="s">
        <v>69</v>
      </c>
      <c r="J17" t="str" cm="1">
        <f t="array" aca="1" ref="J17" ca="1">INDIRECT("b2")</f>
        <v>Tata Motors</v>
      </c>
      <c r="K17">
        <f t="shared" ca="1" si="0"/>
        <v>43000</v>
      </c>
    </row>
    <row r="18" spans="2:11" x14ac:dyDescent="0.3">
      <c r="B18" s="9" t="s">
        <v>70</v>
      </c>
      <c r="C18" s="9">
        <v>710000</v>
      </c>
      <c r="D18" s="9" t="s">
        <v>67</v>
      </c>
      <c r="E18" s="9" t="s">
        <v>71</v>
      </c>
      <c r="F18" s="9">
        <v>43000</v>
      </c>
      <c r="G18" s="10" t="s">
        <v>72</v>
      </c>
      <c r="J18" t="str" cm="1">
        <f t="array" aca="1" ref="J18" ca="1">INDIRECT("b2")</f>
        <v>Tata Motors</v>
      </c>
      <c r="K18">
        <f t="shared" ca="1" si="0"/>
        <v>68000</v>
      </c>
    </row>
    <row r="19" spans="2:11" x14ac:dyDescent="0.3">
      <c r="B19" s="11" t="s">
        <v>73</v>
      </c>
      <c r="C19" s="11">
        <v>1200000</v>
      </c>
      <c r="D19" s="11" t="s">
        <v>74</v>
      </c>
      <c r="E19" s="11" t="s">
        <v>75</v>
      </c>
      <c r="F19" s="11">
        <v>68000</v>
      </c>
      <c r="G19" s="12" t="s">
        <v>76</v>
      </c>
      <c r="J19" t="str" cm="1">
        <f t="array" aca="1" ref="J19" ca="1">INDIRECT("b2")</f>
        <v>Tata Motors</v>
      </c>
      <c r="K19">
        <f t="shared" ca="1" si="0"/>
        <v>80000</v>
      </c>
    </row>
    <row r="20" spans="2:11" x14ac:dyDescent="0.3">
      <c r="B20" s="9" t="s">
        <v>77</v>
      </c>
      <c r="C20" s="9">
        <v>1550000</v>
      </c>
      <c r="D20" s="9" t="s">
        <v>78</v>
      </c>
      <c r="E20" s="9" t="s">
        <v>79</v>
      </c>
      <c r="F20" s="9">
        <v>80000</v>
      </c>
      <c r="G20" s="10" t="s">
        <v>80</v>
      </c>
      <c r="J20" t="str" cm="1">
        <f t="array" aca="1" ref="J20" ca="1">INDIRECT("b2")</f>
        <v>Tata Motors</v>
      </c>
      <c r="K20">
        <f t="shared" ca="1" si="0"/>
        <v>72000</v>
      </c>
    </row>
    <row r="21" spans="2:11" x14ac:dyDescent="0.3">
      <c r="B21" s="11" t="s">
        <v>81</v>
      </c>
      <c r="C21" s="11">
        <v>1300000</v>
      </c>
      <c r="D21" s="11" t="s">
        <v>82</v>
      </c>
      <c r="E21" s="11" t="s">
        <v>83</v>
      </c>
      <c r="F21" s="11">
        <v>72000</v>
      </c>
      <c r="G21" s="12" t="s">
        <v>84</v>
      </c>
      <c r="J21" t="str" cm="1">
        <f t="array" aca="1" ref="J21" ca="1">INDIRECT("b2")</f>
        <v>Tata Motors</v>
      </c>
      <c r="K21">
        <f t="shared" ca="1" si="0"/>
        <v>85000</v>
      </c>
    </row>
    <row r="22" spans="2:11" x14ac:dyDescent="0.3">
      <c r="B22" s="9" t="s">
        <v>85</v>
      </c>
      <c r="C22" s="9">
        <v>1600000</v>
      </c>
      <c r="D22" s="9" t="s">
        <v>82</v>
      </c>
      <c r="E22" s="9" t="s">
        <v>86</v>
      </c>
      <c r="F22" s="9">
        <v>85000</v>
      </c>
      <c r="G22" s="10" t="s">
        <v>87</v>
      </c>
      <c r="J22" t="str" cm="1">
        <f t="array" aca="1" ref="J22" ca="1">INDIRECT("b2")</f>
        <v>Tata Motors</v>
      </c>
      <c r="K22">
        <f t="shared" ca="1" si="0"/>
        <v>47000</v>
      </c>
    </row>
    <row r="23" spans="2:11" ht="28.8" x14ac:dyDescent="0.3">
      <c r="B23" s="11" t="s">
        <v>88</v>
      </c>
      <c r="C23" s="11">
        <v>870000</v>
      </c>
      <c r="D23" s="11" t="s">
        <v>89</v>
      </c>
      <c r="E23" s="11" t="s">
        <v>90</v>
      </c>
      <c r="F23" s="11">
        <v>47000</v>
      </c>
      <c r="G23" s="12" t="s">
        <v>91</v>
      </c>
      <c r="J23" t="str" cm="1">
        <f t="array" aca="1" ref="J23" ca="1">INDIRECT("b2")</f>
        <v>Tata Motors</v>
      </c>
      <c r="K23">
        <f t="shared" ca="1" si="0"/>
        <v>44000</v>
      </c>
    </row>
    <row r="24" spans="2:11" x14ac:dyDescent="0.3">
      <c r="B24" s="9" t="s">
        <v>92</v>
      </c>
      <c r="C24" s="9">
        <v>760000</v>
      </c>
      <c r="D24" s="9" t="s">
        <v>93</v>
      </c>
      <c r="E24" s="9" t="s">
        <v>94</v>
      </c>
      <c r="F24" s="9">
        <v>44000</v>
      </c>
      <c r="G24" s="10" t="s">
        <v>95</v>
      </c>
      <c r="J24" t="str" cm="1">
        <f t="array" aca="1" ref="J24" ca="1">INDIRECT("b2")</f>
        <v>Tata Motors</v>
      </c>
      <c r="K24">
        <f t="shared" ca="1" si="0"/>
        <v>50000</v>
      </c>
    </row>
    <row r="25" spans="2:11" ht="28.8" x14ac:dyDescent="0.3">
      <c r="B25" s="11" t="s">
        <v>96</v>
      </c>
      <c r="C25" s="11">
        <v>690000</v>
      </c>
      <c r="D25" s="11" t="s">
        <v>97</v>
      </c>
      <c r="E25" s="11" t="s">
        <v>98</v>
      </c>
      <c r="F25" s="11">
        <v>50000</v>
      </c>
      <c r="G25" s="12" t="s">
        <v>99</v>
      </c>
      <c r="J25" t="str" cm="1">
        <f t="array" aca="1" ref="J25" ca="1">INDIRECT("b2")</f>
        <v>Tata Motors</v>
      </c>
      <c r="K25">
        <f t="shared" ca="1" si="0"/>
        <v>41000</v>
      </c>
    </row>
    <row r="26" spans="2:11" x14ac:dyDescent="0.3">
      <c r="B26" s="9" t="s">
        <v>100</v>
      </c>
      <c r="C26" s="9">
        <v>740000</v>
      </c>
      <c r="D26" s="9" t="s">
        <v>101</v>
      </c>
      <c r="E26" s="9" t="s">
        <v>102</v>
      </c>
      <c r="F26" s="9">
        <v>41000</v>
      </c>
      <c r="G26" s="10" t="s">
        <v>103</v>
      </c>
      <c r="J26" t="str" cm="1">
        <f t="array" aca="1" ref="J26" ca="1">INDIRECT("b2")</f>
        <v>Tata Motors</v>
      </c>
      <c r="K26">
        <f t="shared" ca="1" si="0"/>
        <v>56000</v>
      </c>
    </row>
    <row r="27" spans="2:11" x14ac:dyDescent="0.3">
      <c r="B27" s="11" t="s">
        <v>104</v>
      </c>
      <c r="C27" s="11">
        <v>990000</v>
      </c>
      <c r="D27" s="11" t="s">
        <v>32</v>
      </c>
      <c r="E27" s="11" t="s">
        <v>105</v>
      </c>
      <c r="F27" s="11">
        <v>56000</v>
      </c>
      <c r="G27" s="12" t="s">
        <v>106</v>
      </c>
      <c r="J27" t="str" cm="1">
        <f t="array" aca="1" ref="J27" ca="1">INDIRECT("b2")</f>
        <v>Tata Motors</v>
      </c>
      <c r="K27">
        <f t="shared" ca="1" si="0"/>
        <v>39000</v>
      </c>
    </row>
    <row r="28" spans="2:11" x14ac:dyDescent="0.3">
      <c r="B28" s="9" t="s">
        <v>107</v>
      </c>
      <c r="C28" s="9">
        <v>580000</v>
      </c>
      <c r="D28" s="9" t="s">
        <v>108</v>
      </c>
      <c r="E28" s="9" t="s">
        <v>109</v>
      </c>
      <c r="F28" s="9">
        <v>39000</v>
      </c>
      <c r="G28" s="10" t="s">
        <v>110</v>
      </c>
      <c r="J28" t="str" cm="1">
        <f t="array" aca="1" ref="J28" ca="1">INDIRECT("b2")</f>
        <v>Tata Motors</v>
      </c>
      <c r="K28">
        <f t="shared" ca="1" si="0"/>
        <v>53000</v>
      </c>
    </row>
    <row r="29" spans="2:11" x14ac:dyDescent="0.3">
      <c r="B29" s="11" t="s">
        <v>111</v>
      </c>
      <c r="C29" s="11">
        <v>830000</v>
      </c>
      <c r="D29" s="11" t="s">
        <v>108</v>
      </c>
      <c r="E29" s="11" t="s">
        <v>112</v>
      </c>
      <c r="F29" s="11">
        <v>53000</v>
      </c>
      <c r="G29" s="12" t="s">
        <v>113</v>
      </c>
      <c r="J29" t="str" cm="1">
        <f t="array" aca="1" ref="J29" ca="1">INDIRECT("b2")</f>
        <v>Tata Motors</v>
      </c>
      <c r="K29">
        <f t="shared" ca="1" si="0"/>
        <v>74000</v>
      </c>
    </row>
    <row r="30" spans="2:11" x14ac:dyDescent="0.3">
      <c r="B30" s="9" t="s">
        <v>114</v>
      </c>
      <c r="C30" s="9">
        <v>1400000</v>
      </c>
      <c r="D30" s="9" t="s">
        <v>115</v>
      </c>
      <c r="E30" s="9" t="s">
        <v>116</v>
      </c>
      <c r="F30" s="9">
        <v>74000</v>
      </c>
      <c r="G30" s="10" t="s">
        <v>117</v>
      </c>
      <c r="J30" t="str" cm="1">
        <f t="array" aca="1" ref="J30" ca="1">INDIRECT("b2")</f>
        <v>Tata Motors</v>
      </c>
      <c r="K30">
        <f t="shared" ca="1" si="0"/>
        <v>61000</v>
      </c>
    </row>
    <row r="31" spans="2:11" ht="28.8" x14ac:dyDescent="0.3">
      <c r="B31" s="13" t="s">
        <v>118</v>
      </c>
      <c r="C31" s="13">
        <v>1080000</v>
      </c>
      <c r="D31" s="13" t="s">
        <v>119</v>
      </c>
      <c r="E31" s="13" t="s">
        <v>120</v>
      </c>
      <c r="F31" s="13">
        <v>61000</v>
      </c>
      <c r="G31" s="14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A9A3-0D80-4935-ADDF-CC98AEA3AA3E}">
  <dimension ref="B1:N31"/>
  <sheetViews>
    <sheetView workbookViewId="0">
      <selection activeCell="R5" sqref="R5"/>
    </sheetView>
  </sheetViews>
  <sheetFormatPr defaultRowHeight="14.4" x14ac:dyDescent="0.3"/>
  <cols>
    <col min="2" max="2" width="12.33203125" customWidth="1"/>
    <col min="3" max="3" width="11.33203125" customWidth="1"/>
    <col min="4" max="4" width="13.6640625" customWidth="1"/>
    <col min="5" max="5" width="13.77734375" customWidth="1"/>
    <col min="6" max="6" width="13.33203125" customWidth="1"/>
    <col min="9" max="9" width="11" customWidth="1"/>
    <col min="10" max="10" width="9.88671875" customWidth="1"/>
    <col min="11" max="11" width="12" customWidth="1"/>
    <col min="12" max="12" width="12.109375" customWidth="1"/>
    <col min="13" max="13" width="11.33203125" customWidth="1"/>
    <col min="14" max="14" width="11.109375" customWidth="1"/>
  </cols>
  <sheetData>
    <row r="1" spans="2:14" ht="28.8" x14ac:dyDescent="0.3"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I1" s="19" t="s">
        <v>145</v>
      </c>
      <c r="J1" s="19" t="s">
        <v>146</v>
      </c>
      <c r="K1" s="19" t="s">
        <v>147</v>
      </c>
      <c r="L1" s="19" t="s">
        <v>148</v>
      </c>
      <c r="M1" s="19" t="s">
        <v>145</v>
      </c>
      <c r="N1" s="19" t="s">
        <v>149</v>
      </c>
    </row>
    <row r="2" spans="2:14" x14ac:dyDescent="0.3">
      <c r="B2" s="9" t="s">
        <v>7</v>
      </c>
      <c r="C2" s="9">
        <v>850000</v>
      </c>
      <c r="D2" s="9" t="s">
        <v>8</v>
      </c>
      <c r="E2" s="9" t="s">
        <v>9</v>
      </c>
      <c r="F2" s="9">
        <v>45000</v>
      </c>
      <c r="G2" s="10" t="s">
        <v>10</v>
      </c>
      <c r="I2" s="20">
        <f>SUM(C2:C31)</f>
        <v>29890000</v>
      </c>
      <c r="J2" s="20">
        <f>AVERAGE(C2:C31)</f>
        <v>996333.33333333337</v>
      </c>
      <c r="K2" s="20">
        <f>MAX(C2:C31)</f>
        <v>1600000</v>
      </c>
      <c r="L2" s="20">
        <f>MIN(C2:C31)</f>
        <v>580000</v>
      </c>
      <c r="M2" s="20">
        <f>SUM(F2:F31)</f>
        <v>1688000</v>
      </c>
      <c r="N2" s="20">
        <f>ROUND(F2,-3)</f>
        <v>45000</v>
      </c>
    </row>
    <row r="3" spans="2:14" ht="28.8" x14ac:dyDescent="0.3">
      <c r="B3" s="11" t="s">
        <v>11</v>
      </c>
      <c r="C3" s="11">
        <v>1250000</v>
      </c>
      <c r="D3" s="11" t="s">
        <v>12</v>
      </c>
      <c r="E3" s="11" t="s">
        <v>13</v>
      </c>
      <c r="F3" s="11">
        <v>65000</v>
      </c>
      <c r="G3" s="12" t="s">
        <v>14</v>
      </c>
      <c r="I3" s="20">
        <f t="shared" ref="I3:I31" si="0">SUM(C3:C32)</f>
        <v>29040000</v>
      </c>
      <c r="J3" s="20">
        <f t="shared" ref="J3:J31" si="1">AVERAGE(C3:C32)</f>
        <v>1001379.3103448276</v>
      </c>
      <c r="K3" s="20">
        <f t="shared" ref="K3:K31" si="2">MAX(C3:C32)</f>
        <v>1600000</v>
      </c>
      <c r="L3" s="20">
        <f t="shared" ref="L3:L31" si="3">MIN(C3:C32)</f>
        <v>580000</v>
      </c>
      <c r="M3" s="20">
        <f t="shared" ref="M3:M31" si="4">SUM(F3:F32)</f>
        <v>1643000</v>
      </c>
      <c r="N3" s="20">
        <f t="shared" ref="N3:N31" si="5">ROUND(F3,-3)</f>
        <v>65000</v>
      </c>
    </row>
    <row r="4" spans="2:14" x14ac:dyDescent="0.3">
      <c r="B4" s="9" t="s">
        <v>15</v>
      </c>
      <c r="C4" s="9">
        <v>950000</v>
      </c>
      <c r="D4" s="9" t="s">
        <v>16</v>
      </c>
      <c r="E4" s="9" t="s">
        <v>17</v>
      </c>
      <c r="F4" s="9">
        <v>55000</v>
      </c>
      <c r="G4" s="10" t="s">
        <v>18</v>
      </c>
      <c r="I4" s="20">
        <f t="shared" si="0"/>
        <v>27790000</v>
      </c>
      <c r="J4" s="20">
        <f t="shared" si="1"/>
        <v>992500</v>
      </c>
      <c r="K4" s="20">
        <f t="shared" si="2"/>
        <v>1600000</v>
      </c>
      <c r="L4" s="20">
        <f t="shared" si="3"/>
        <v>580000</v>
      </c>
      <c r="M4" s="20">
        <f t="shared" si="4"/>
        <v>1578000</v>
      </c>
      <c r="N4" s="20">
        <f t="shared" si="5"/>
        <v>55000</v>
      </c>
    </row>
    <row r="5" spans="2:14" x14ac:dyDescent="0.3">
      <c r="B5" s="11" t="s">
        <v>19</v>
      </c>
      <c r="C5" s="11">
        <v>780000</v>
      </c>
      <c r="D5" s="11" t="s">
        <v>20</v>
      </c>
      <c r="E5" s="11" t="s">
        <v>21</v>
      </c>
      <c r="F5" s="11">
        <v>48000</v>
      </c>
      <c r="G5" s="12" t="s">
        <v>22</v>
      </c>
      <c r="I5" s="20">
        <f t="shared" si="0"/>
        <v>26840000</v>
      </c>
      <c r="J5" s="20">
        <f t="shared" si="1"/>
        <v>994074.07407407404</v>
      </c>
      <c r="K5" s="20">
        <f t="shared" si="2"/>
        <v>1600000</v>
      </c>
      <c r="L5" s="20">
        <f t="shared" si="3"/>
        <v>580000</v>
      </c>
      <c r="M5" s="20">
        <f t="shared" si="4"/>
        <v>1523000</v>
      </c>
      <c r="N5" s="20">
        <f t="shared" si="5"/>
        <v>48000</v>
      </c>
    </row>
    <row r="6" spans="2:14" ht="28.8" x14ac:dyDescent="0.3">
      <c r="B6" s="9" t="s">
        <v>23</v>
      </c>
      <c r="C6" s="9">
        <v>1100000</v>
      </c>
      <c r="D6" s="9" t="s">
        <v>24</v>
      </c>
      <c r="E6" s="9" t="s">
        <v>25</v>
      </c>
      <c r="F6" s="9">
        <v>60000</v>
      </c>
      <c r="G6" s="10" t="s">
        <v>26</v>
      </c>
      <c r="I6" s="20">
        <f t="shared" si="0"/>
        <v>26060000</v>
      </c>
      <c r="J6" s="20">
        <f t="shared" si="1"/>
        <v>1002307.6923076923</v>
      </c>
      <c r="K6" s="20">
        <f t="shared" si="2"/>
        <v>1600000</v>
      </c>
      <c r="L6" s="20">
        <f t="shared" si="3"/>
        <v>580000</v>
      </c>
      <c r="M6" s="20">
        <f t="shared" si="4"/>
        <v>1475000</v>
      </c>
      <c r="N6" s="20">
        <f t="shared" si="5"/>
        <v>60000</v>
      </c>
    </row>
    <row r="7" spans="2:14" x14ac:dyDescent="0.3">
      <c r="B7" s="11" t="s">
        <v>27</v>
      </c>
      <c r="C7" s="11">
        <v>920000</v>
      </c>
      <c r="D7" s="11" t="s">
        <v>28</v>
      </c>
      <c r="E7" s="11" t="s">
        <v>29</v>
      </c>
      <c r="F7" s="11">
        <v>52000</v>
      </c>
      <c r="G7" s="12" t="s">
        <v>30</v>
      </c>
      <c r="I7" s="20">
        <f t="shared" si="0"/>
        <v>24960000</v>
      </c>
      <c r="J7" s="20">
        <f t="shared" si="1"/>
        <v>998400</v>
      </c>
      <c r="K7" s="20">
        <f t="shared" si="2"/>
        <v>1600000</v>
      </c>
      <c r="L7" s="20">
        <f t="shared" si="3"/>
        <v>580000</v>
      </c>
      <c r="M7" s="20">
        <f t="shared" si="4"/>
        <v>1415000</v>
      </c>
      <c r="N7" s="20">
        <f t="shared" si="5"/>
        <v>52000</v>
      </c>
    </row>
    <row r="8" spans="2:14" x14ac:dyDescent="0.3">
      <c r="B8" s="9" t="s">
        <v>31</v>
      </c>
      <c r="C8" s="9">
        <v>680000</v>
      </c>
      <c r="D8" s="9" t="s">
        <v>32</v>
      </c>
      <c r="E8" s="9" t="s">
        <v>33</v>
      </c>
      <c r="F8" s="9">
        <v>42000</v>
      </c>
      <c r="G8" s="10" t="s">
        <v>34</v>
      </c>
      <c r="I8" s="20">
        <f t="shared" si="0"/>
        <v>24040000</v>
      </c>
      <c r="J8" s="20">
        <f t="shared" si="1"/>
        <v>1001666.6666666666</v>
      </c>
      <c r="K8" s="20">
        <f t="shared" si="2"/>
        <v>1600000</v>
      </c>
      <c r="L8" s="20">
        <f t="shared" si="3"/>
        <v>580000</v>
      </c>
      <c r="M8" s="20">
        <f t="shared" si="4"/>
        <v>1363000</v>
      </c>
      <c r="N8" s="20">
        <f t="shared" si="5"/>
        <v>42000</v>
      </c>
    </row>
    <row r="9" spans="2:14" x14ac:dyDescent="0.3">
      <c r="B9" s="11" t="s">
        <v>35</v>
      </c>
      <c r="C9" s="11">
        <v>720000</v>
      </c>
      <c r="D9" s="11" t="s">
        <v>36</v>
      </c>
      <c r="E9" s="11" t="s">
        <v>37</v>
      </c>
      <c r="F9" s="11">
        <v>46000</v>
      </c>
      <c r="G9" s="12" t="s">
        <v>38</v>
      </c>
      <c r="I9" s="20">
        <f t="shared" si="0"/>
        <v>23360000</v>
      </c>
      <c r="J9" s="20">
        <f t="shared" si="1"/>
        <v>1015652.1739130435</v>
      </c>
      <c r="K9" s="20">
        <f t="shared" si="2"/>
        <v>1600000</v>
      </c>
      <c r="L9" s="20">
        <f t="shared" si="3"/>
        <v>580000</v>
      </c>
      <c r="M9" s="20">
        <f t="shared" si="4"/>
        <v>1321000</v>
      </c>
      <c r="N9" s="20">
        <f t="shared" si="5"/>
        <v>46000</v>
      </c>
    </row>
    <row r="10" spans="2:14" x14ac:dyDescent="0.3">
      <c r="B10" s="9" t="s">
        <v>39</v>
      </c>
      <c r="C10" s="9">
        <v>1350000</v>
      </c>
      <c r="D10" s="9" t="s">
        <v>8</v>
      </c>
      <c r="E10" s="9" t="s">
        <v>40</v>
      </c>
      <c r="F10" s="9">
        <v>70000</v>
      </c>
      <c r="G10" s="10" t="s">
        <v>41</v>
      </c>
      <c r="I10" s="20">
        <f t="shared" si="0"/>
        <v>22640000</v>
      </c>
      <c r="J10" s="20">
        <f t="shared" si="1"/>
        <v>1029090.9090909091</v>
      </c>
      <c r="K10" s="20">
        <f t="shared" si="2"/>
        <v>1600000</v>
      </c>
      <c r="L10" s="20">
        <f t="shared" si="3"/>
        <v>580000</v>
      </c>
      <c r="M10" s="20">
        <f t="shared" si="4"/>
        <v>1275000</v>
      </c>
      <c r="N10" s="20">
        <f t="shared" si="5"/>
        <v>70000</v>
      </c>
    </row>
    <row r="11" spans="2:14" ht="28.8" x14ac:dyDescent="0.3">
      <c r="B11" s="11" t="s">
        <v>42</v>
      </c>
      <c r="C11" s="11">
        <v>1050000</v>
      </c>
      <c r="D11" s="11" t="s">
        <v>43</v>
      </c>
      <c r="E11" s="11" t="s">
        <v>44</v>
      </c>
      <c r="F11" s="11">
        <v>58000</v>
      </c>
      <c r="G11" s="12" t="s">
        <v>45</v>
      </c>
      <c r="I11" s="20">
        <f t="shared" si="0"/>
        <v>21290000</v>
      </c>
      <c r="J11" s="20">
        <f t="shared" si="1"/>
        <v>1013809.5238095238</v>
      </c>
      <c r="K11" s="20">
        <f t="shared" si="2"/>
        <v>1600000</v>
      </c>
      <c r="L11" s="20">
        <f t="shared" si="3"/>
        <v>580000</v>
      </c>
      <c r="M11" s="20">
        <f t="shared" si="4"/>
        <v>1205000</v>
      </c>
      <c r="N11" s="20">
        <f t="shared" si="5"/>
        <v>58000</v>
      </c>
    </row>
    <row r="12" spans="2:14" x14ac:dyDescent="0.3">
      <c r="B12" s="9" t="s">
        <v>46</v>
      </c>
      <c r="C12" s="9">
        <v>890000</v>
      </c>
      <c r="D12" s="9" t="s">
        <v>47</v>
      </c>
      <c r="E12" s="9" t="s">
        <v>48</v>
      </c>
      <c r="F12" s="9">
        <v>51000</v>
      </c>
      <c r="G12" s="10" t="s">
        <v>49</v>
      </c>
      <c r="I12" s="20">
        <f t="shared" si="0"/>
        <v>20240000</v>
      </c>
      <c r="J12" s="20">
        <f t="shared" si="1"/>
        <v>1012000</v>
      </c>
      <c r="K12" s="20">
        <f t="shared" si="2"/>
        <v>1600000</v>
      </c>
      <c r="L12" s="20">
        <f t="shared" si="3"/>
        <v>580000</v>
      </c>
      <c r="M12" s="20">
        <f t="shared" si="4"/>
        <v>1147000</v>
      </c>
      <c r="N12" s="20">
        <f t="shared" si="5"/>
        <v>51000</v>
      </c>
    </row>
    <row r="13" spans="2:14" ht="28.8" x14ac:dyDescent="0.3">
      <c r="B13" s="11" t="s">
        <v>50</v>
      </c>
      <c r="C13" s="11">
        <v>980000</v>
      </c>
      <c r="D13" s="11" t="s">
        <v>51</v>
      </c>
      <c r="E13" s="11" t="s">
        <v>52</v>
      </c>
      <c r="F13" s="11">
        <v>62000</v>
      </c>
      <c r="G13" s="12" t="s">
        <v>53</v>
      </c>
      <c r="I13" s="20">
        <f t="shared" si="0"/>
        <v>19350000</v>
      </c>
      <c r="J13" s="20">
        <f t="shared" si="1"/>
        <v>1018421.052631579</v>
      </c>
      <c r="K13" s="20">
        <f t="shared" si="2"/>
        <v>1600000</v>
      </c>
      <c r="L13" s="20">
        <f t="shared" si="3"/>
        <v>580000</v>
      </c>
      <c r="M13" s="20">
        <f t="shared" si="4"/>
        <v>1096000</v>
      </c>
      <c r="N13" s="20">
        <f t="shared" si="5"/>
        <v>62000</v>
      </c>
    </row>
    <row r="14" spans="2:14" ht="28.8" x14ac:dyDescent="0.3">
      <c r="B14" s="9" t="s">
        <v>54</v>
      </c>
      <c r="C14" s="9">
        <v>1150000</v>
      </c>
      <c r="D14" s="9" t="s">
        <v>55</v>
      </c>
      <c r="E14" s="9" t="s">
        <v>56</v>
      </c>
      <c r="F14" s="9">
        <v>57000</v>
      </c>
      <c r="G14" s="10" t="s">
        <v>57</v>
      </c>
      <c r="I14" s="20">
        <f t="shared" si="0"/>
        <v>18370000</v>
      </c>
      <c r="J14" s="20">
        <f t="shared" si="1"/>
        <v>1020555.5555555555</v>
      </c>
      <c r="K14" s="20">
        <f t="shared" si="2"/>
        <v>1600000</v>
      </c>
      <c r="L14" s="20">
        <f t="shared" si="3"/>
        <v>580000</v>
      </c>
      <c r="M14" s="20">
        <f t="shared" si="4"/>
        <v>1034000</v>
      </c>
      <c r="N14" s="20">
        <f t="shared" si="5"/>
        <v>57000</v>
      </c>
    </row>
    <row r="15" spans="2:14" ht="28.8" x14ac:dyDescent="0.3">
      <c r="B15" s="11" t="s">
        <v>58</v>
      </c>
      <c r="C15" s="11">
        <v>1450000</v>
      </c>
      <c r="D15" s="11" t="s">
        <v>59</v>
      </c>
      <c r="E15" s="11" t="s">
        <v>60</v>
      </c>
      <c r="F15" s="11">
        <v>75000</v>
      </c>
      <c r="G15" s="12" t="s">
        <v>61</v>
      </c>
      <c r="I15" s="20">
        <f t="shared" si="0"/>
        <v>17220000</v>
      </c>
      <c r="J15" s="20">
        <f t="shared" si="1"/>
        <v>1012941.1764705882</v>
      </c>
      <c r="K15" s="20">
        <f t="shared" si="2"/>
        <v>1600000</v>
      </c>
      <c r="L15" s="20">
        <f t="shared" si="3"/>
        <v>580000</v>
      </c>
      <c r="M15" s="20">
        <f t="shared" si="4"/>
        <v>977000</v>
      </c>
      <c r="N15" s="20">
        <f t="shared" si="5"/>
        <v>75000</v>
      </c>
    </row>
    <row r="16" spans="2:14" ht="28.8" x14ac:dyDescent="0.3">
      <c r="B16" s="9" t="s">
        <v>62</v>
      </c>
      <c r="C16" s="9">
        <v>820000</v>
      </c>
      <c r="D16" s="9" t="s">
        <v>63</v>
      </c>
      <c r="E16" s="9" t="s">
        <v>64</v>
      </c>
      <c r="F16" s="9">
        <v>49000</v>
      </c>
      <c r="G16" s="10" t="s">
        <v>65</v>
      </c>
      <c r="I16" s="20">
        <f t="shared" si="0"/>
        <v>15770000</v>
      </c>
      <c r="J16" s="20">
        <f t="shared" si="1"/>
        <v>985625</v>
      </c>
      <c r="K16" s="20">
        <f t="shared" si="2"/>
        <v>1600000</v>
      </c>
      <c r="L16" s="20">
        <f t="shared" si="3"/>
        <v>580000</v>
      </c>
      <c r="M16" s="20">
        <f t="shared" si="4"/>
        <v>902000</v>
      </c>
      <c r="N16" s="20">
        <f t="shared" si="5"/>
        <v>49000</v>
      </c>
    </row>
    <row r="17" spans="2:14" x14ac:dyDescent="0.3">
      <c r="B17" s="11" t="s">
        <v>66</v>
      </c>
      <c r="C17" s="11">
        <v>650000</v>
      </c>
      <c r="D17" s="11" t="s">
        <v>67</v>
      </c>
      <c r="E17" s="11" t="s">
        <v>68</v>
      </c>
      <c r="F17" s="11">
        <v>40000</v>
      </c>
      <c r="G17" s="12" t="s">
        <v>69</v>
      </c>
      <c r="I17" s="20">
        <f t="shared" si="0"/>
        <v>14950000</v>
      </c>
      <c r="J17" s="20">
        <f t="shared" si="1"/>
        <v>996666.66666666663</v>
      </c>
      <c r="K17" s="20">
        <f t="shared" si="2"/>
        <v>1600000</v>
      </c>
      <c r="L17" s="20">
        <f t="shared" si="3"/>
        <v>580000</v>
      </c>
      <c r="M17" s="20">
        <f t="shared" si="4"/>
        <v>853000</v>
      </c>
      <c r="N17" s="20">
        <f t="shared" si="5"/>
        <v>40000</v>
      </c>
    </row>
    <row r="18" spans="2:14" x14ac:dyDescent="0.3">
      <c r="B18" s="9" t="s">
        <v>70</v>
      </c>
      <c r="C18" s="9">
        <v>710000</v>
      </c>
      <c r="D18" s="9" t="s">
        <v>67</v>
      </c>
      <c r="E18" s="9" t="s">
        <v>71</v>
      </c>
      <c r="F18" s="9">
        <v>43000</v>
      </c>
      <c r="G18" s="10" t="s">
        <v>72</v>
      </c>
      <c r="I18" s="20">
        <f t="shared" si="0"/>
        <v>14300000</v>
      </c>
      <c r="J18" s="20">
        <f t="shared" si="1"/>
        <v>1021428.5714285715</v>
      </c>
      <c r="K18" s="20">
        <f t="shared" si="2"/>
        <v>1600000</v>
      </c>
      <c r="L18" s="20">
        <f t="shared" si="3"/>
        <v>580000</v>
      </c>
      <c r="M18" s="20">
        <f t="shared" si="4"/>
        <v>813000</v>
      </c>
      <c r="N18" s="20">
        <f t="shared" si="5"/>
        <v>43000</v>
      </c>
    </row>
    <row r="19" spans="2:14" x14ac:dyDescent="0.3">
      <c r="B19" s="11" t="s">
        <v>73</v>
      </c>
      <c r="C19" s="11">
        <v>1200000</v>
      </c>
      <c r="D19" s="11" t="s">
        <v>74</v>
      </c>
      <c r="E19" s="11" t="s">
        <v>75</v>
      </c>
      <c r="F19" s="11">
        <v>68000</v>
      </c>
      <c r="G19" s="12" t="s">
        <v>76</v>
      </c>
      <c r="I19" s="20">
        <f t="shared" si="0"/>
        <v>13590000</v>
      </c>
      <c r="J19" s="20">
        <f t="shared" si="1"/>
        <v>1045384.6153846154</v>
      </c>
      <c r="K19" s="20">
        <f t="shared" si="2"/>
        <v>1600000</v>
      </c>
      <c r="L19" s="20">
        <f t="shared" si="3"/>
        <v>580000</v>
      </c>
      <c r="M19" s="20">
        <f t="shared" si="4"/>
        <v>770000</v>
      </c>
      <c r="N19" s="20">
        <f t="shared" si="5"/>
        <v>68000</v>
      </c>
    </row>
    <row r="20" spans="2:14" x14ac:dyDescent="0.3">
      <c r="B20" s="9" t="s">
        <v>77</v>
      </c>
      <c r="C20" s="9">
        <v>1550000</v>
      </c>
      <c r="D20" s="9" t="s">
        <v>78</v>
      </c>
      <c r="E20" s="9" t="s">
        <v>79</v>
      </c>
      <c r="F20" s="9">
        <v>80000</v>
      </c>
      <c r="G20" s="10" t="s">
        <v>80</v>
      </c>
      <c r="I20" s="20">
        <f t="shared" si="0"/>
        <v>12390000</v>
      </c>
      <c r="J20" s="20">
        <f t="shared" si="1"/>
        <v>1032500</v>
      </c>
      <c r="K20" s="20">
        <f t="shared" si="2"/>
        <v>1600000</v>
      </c>
      <c r="L20" s="20">
        <f t="shared" si="3"/>
        <v>580000</v>
      </c>
      <c r="M20" s="20">
        <f t="shared" si="4"/>
        <v>702000</v>
      </c>
      <c r="N20" s="20">
        <f t="shared" si="5"/>
        <v>80000</v>
      </c>
    </row>
    <row r="21" spans="2:14" ht="28.8" x14ac:dyDescent="0.3">
      <c r="B21" s="11" t="s">
        <v>81</v>
      </c>
      <c r="C21" s="11">
        <v>1300000</v>
      </c>
      <c r="D21" s="11" t="s">
        <v>82</v>
      </c>
      <c r="E21" s="11" t="s">
        <v>83</v>
      </c>
      <c r="F21" s="11">
        <v>72000</v>
      </c>
      <c r="G21" s="12" t="s">
        <v>84</v>
      </c>
      <c r="I21" s="20">
        <f t="shared" si="0"/>
        <v>10840000</v>
      </c>
      <c r="J21" s="20">
        <f t="shared" si="1"/>
        <v>985454.54545454541</v>
      </c>
      <c r="K21" s="20">
        <f t="shared" si="2"/>
        <v>1600000</v>
      </c>
      <c r="L21" s="20">
        <f t="shared" si="3"/>
        <v>580000</v>
      </c>
      <c r="M21" s="20">
        <f t="shared" si="4"/>
        <v>622000</v>
      </c>
      <c r="N21" s="20">
        <f t="shared" si="5"/>
        <v>72000</v>
      </c>
    </row>
    <row r="22" spans="2:14" x14ac:dyDescent="0.3">
      <c r="B22" s="9" t="s">
        <v>85</v>
      </c>
      <c r="C22" s="9">
        <v>1600000</v>
      </c>
      <c r="D22" s="9" t="s">
        <v>82</v>
      </c>
      <c r="E22" s="9" t="s">
        <v>86</v>
      </c>
      <c r="F22" s="9">
        <v>85000</v>
      </c>
      <c r="G22" s="10" t="s">
        <v>87</v>
      </c>
      <c r="I22" s="20">
        <f t="shared" si="0"/>
        <v>9540000</v>
      </c>
      <c r="J22" s="20">
        <f t="shared" si="1"/>
        <v>954000</v>
      </c>
      <c r="K22" s="20">
        <f t="shared" si="2"/>
        <v>1600000</v>
      </c>
      <c r="L22" s="20">
        <f t="shared" si="3"/>
        <v>580000</v>
      </c>
      <c r="M22" s="20">
        <f t="shared" si="4"/>
        <v>550000</v>
      </c>
      <c r="N22" s="20">
        <f t="shared" si="5"/>
        <v>85000</v>
      </c>
    </row>
    <row r="23" spans="2:14" ht="28.8" x14ac:dyDescent="0.3">
      <c r="B23" s="11" t="s">
        <v>88</v>
      </c>
      <c r="C23" s="11">
        <v>870000</v>
      </c>
      <c r="D23" s="11" t="s">
        <v>89</v>
      </c>
      <c r="E23" s="11" t="s">
        <v>90</v>
      </c>
      <c r="F23" s="11">
        <v>47000</v>
      </c>
      <c r="G23" s="12" t="s">
        <v>91</v>
      </c>
      <c r="I23" s="20">
        <f t="shared" si="0"/>
        <v>7940000</v>
      </c>
      <c r="J23" s="20">
        <f t="shared" si="1"/>
        <v>882222.22222222225</v>
      </c>
      <c r="K23" s="20">
        <f t="shared" si="2"/>
        <v>1400000</v>
      </c>
      <c r="L23" s="20">
        <f t="shared" si="3"/>
        <v>580000</v>
      </c>
      <c r="M23" s="20">
        <f t="shared" si="4"/>
        <v>465000</v>
      </c>
      <c r="N23" s="20">
        <f t="shared" si="5"/>
        <v>47000</v>
      </c>
    </row>
    <row r="24" spans="2:14" x14ac:dyDescent="0.3">
      <c r="B24" s="9" t="s">
        <v>92</v>
      </c>
      <c r="C24" s="9">
        <v>760000</v>
      </c>
      <c r="D24" s="9" t="s">
        <v>93</v>
      </c>
      <c r="E24" s="9" t="s">
        <v>94</v>
      </c>
      <c r="F24" s="9">
        <v>44000</v>
      </c>
      <c r="G24" s="10" t="s">
        <v>95</v>
      </c>
      <c r="I24" s="20">
        <f t="shared" si="0"/>
        <v>7070000</v>
      </c>
      <c r="J24" s="20">
        <f t="shared" si="1"/>
        <v>883750</v>
      </c>
      <c r="K24" s="20">
        <f t="shared" si="2"/>
        <v>1400000</v>
      </c>
      <c r="L24" s="20">
        <f t="shared" si="3"/>
        <v>580000</v>
      </c>
      <c r="M24" s="20">
        <f t="shared" si="4"/>
        <v>418000</v>
      </c>
      <c r="N24" s="20">
        <f t="shared" si="5"/>
        <v>44000</v>
      </c>
    </row>
    <row r="25" spans="2:14" ht="28.8" x14ac:dyDescent="0.3">
      <c r="B25" s="11" t="s">
        <v>96</v>
      </c>
      <c r="C25" s="11">
        <v>690000</v>
      </c>
      <c r="D25" s="11" t="s">
        <v>97</v>
      </c>
      <c r="E25" s="11" t="s">
        <v>98</v>
      </c>
      <c r="F25" s="11">
        <v>50000</v>
      </c>
      <c r="G25" s="12" t="s">
        <v>99</v>
      </c>
      <c r="I25" s="20">
        <f t="shared" si="0"/>
        <v>6310000</v>
      </c>
      <c r="J25" s="20">
        <f t="shared" si="1"/>
        <v>901428.57142857148</v>
      </c>
      <c r="K25" s="20">
        <f t="shared" si="2"/>
        <v>1400000</v>
      </c>
      <c r="L25" s="20">
        <f t="shared" si="3"/>
        <v>580000</v>
      </c>
      <c r="M25" s="20">
        <f t="shared" si="4"/>
        <v>374000</v>
      </c>
      <c r="N25" s="20">
        <f t="shared" si="5"/>
        <v>50000</v>
      </c>
    </row>
    <row r="26" spans="2:14" x14ac:dyDescent="0.3">
      <c r="B26" s="9" t="s">
        <v>100</v>
      </c>
      <c r="C26" s="9">
        <v>740000</v>
      </c>
      <c r="D26" s="9" t="s">
        <v>101</v>
      </c>
      <c r="E26" s="9" t="s">
        <v>102</v>
      </c>
      <c r="F26" s="9">
        <v>41000</v>
      </c>
      <c r="G26" s="10" t="s">
        <v>103</v>
      </c>
      <c r="I26" s="20">
        <f t="shared" si="0"/>
        <v>5620000</v>
      </c>
      <c r="J26" s="20">
        <f t="shared" si="1"/>
        <v>936666.66666666663</v>
      </c>
      <c r="K26" s="20">
        <f t="shared" si="2"/>
        <v>1400000</v>
      </c>
      <c r="L26" s="20">
        <f t="shared" si="3"/>
        <v>580000</v>
      </c>
      <c r="M26" s="20">
        <f t="shared" si="4"/>
        <v>324000</v>
      </c>
      <c r="N26" s="20">
        <f t="shared" si="5"/>
        <v>41000</v>
      </c>
    </row>
    <row r="27" spans="2:14" x14ac:dyDescent="0.3">
      <c r="B27" s="11" t="s">
        <v>104</v>
      </c>
      <c r="C27" s="11">
        <v>990000</v>
      </c>
      <c r="D27" s="11" t="s">
        <v>32</v>
      </c>
      <c r="E27" s="11" t="s">
        <v>105</v>
      </c>
      <c r="F27" s="11">
        <v>56000</v>
      </c>
      <c r="G27" s="12" t="s">
        <v>106</v>
      </c>
      <c r="I27" s="20">
        <f t="shared" si="0"/>
        <v>4880000</v>
      </c>
      <c r="J27" s="20">
        <f t="shared" si="1"/>
        <v>976000</v>
      </c>
      <c r="K27" s="20">
        <f t="shared" si="2"/>
        <v>1400000</v>
      </c>
      <c r="L27" s="20">
        <f t="shared" si="3"/>
        <v>580000</v>
      </c>
      <c r="M27" s="20">
        <f t="shared" si="4"/>
        <v>283000</v>
      </c>
      <c r="N27" s="20">
        <f t="shared" si="5"/>
        <v>56000</v>
      </c>
    </row>
    <row r="28" spans="2:14" ht="28.8" x14ac:dyDescent="0.3">
      <c r="B28" s="9" t="s">
        <v>107</v>
      </c>
      <c r="C28" s="9">
        <v>580000</v>
      </c>
      <c r="D28" s="9" t="s">
        <v>108</v>
      </c>
      <c r="E28" s="9" t="s">
        <v>109</v>
      </c>
      <c r="F28" s="9">
        <v>39000</v>
      </c>
      <c r="G28" s="10" t="s">
        <v>110</v>
      </c>
      <c r="I28" s="20">
        <f t="shared" si="0"/>
        <v>3890000</v>
      </c>
      <c r="J28" s="20">
        <f t="shared" si="1"/>
        <v>972500</v>
      </c>
      <c r="K28" s="20">
        <f t="shared" si="2"/>
        <v>1400000</v>
      </c>
      <c r="L28" s="20">
        <f t="shared" si="3"/>
        <v>580000</v>
      </c>
      <c r="M28" s="20">
        <f t="shared" si="4"/>
        <v>227000</v>
      </c>
      <c r="N28" s="20">
        <f t="shared" si="5"/>
        <v>39000</v>
      </c>
    </row>
    <row r="29" spans="2:14" ht="28.8" x14ac:dyDescent="0.3">
      <c r="B29" s="11" t="s">
        <v>111</v>
      </c>
      <c r="C29" s="11">
        <v>830000</v>
      </c>
      <c r="D29" s="11" t="s">
        <v>108</v>
      </c>
      <c r="E29" s="11" t="s">
        <v>112</v>
      </c>
      <c r="F29" s="11">
        <v>53000</v>
      </c>
      <c r="G29" s="12" t="s">
        <v>113</v>
      </c>
      <c r="I29" s="20">
        <f t="shared" si="0"/>
        <v>3310000</v>
      </c>
      <c r="J29" s="20">
        <f t="shared" si="1"/>
        <v>1103333.3333333333</v>
      </c>
      <c r="K29" s="20">
        <f t="shared" si="2"/>
        <v>1400000</v>
      </c>
      <c r="L29" s="20">
        <f t="shared" si="3"/>
        <v>830000</v>
      </c>
      <c r="M29" s="20">
        <f t="shared" si="4"/>
        <v>188000</v>
      </c>
      <c r="N29" s="20">
        <f t="shared" si="5"/>
        <v>53000</v>
      </c>
    </row>
    <row r="30" spans="2:14" x14ac:dyDescent="0.3">
      <c r="B30" s="9" t="s">
        <v>114</v>
      </c>
      <c r="C30" s="9">
        <v>1400000</v>
      </c>
      <c r="D30" s="9" t="s">
        <v>115</v>
      </c>
      <c r="E30" s="9" t="s">
        <v>116</v>
      </c>
      <c r="F30" s="9">
        <v>74000</v>
      </c>
      <c r="G30" s="10" t="s">
        <v>117</v>
      </c>
      <c r="I30" s="20">
        <f t="shared" si="0"/>
        <v>2480000</v>
      </c>
      <c r="J30" s="20">
        <f t="shared" si="1"/>
        <v>1240000</v>
      </c>
      <c r="K30" s="20">
        <f t="shared" si="2"/>
        <v>1400000</v>
      </c>
      <c r="L30" s="20">
        <f t="shared" si="3"/>
        <v>1080000</v>
      </c>
      <c r="M30" s="20">
        <f t="shared" si="4"/>
        <v>135000</v>
      </c>
      <c r="N30" s="20">
        <f t="shared" si="5"/>
        <v>74000</v>
      </c>
    </row>
    <row r="31" spans="2:14" ht="28.8" x14ac:dyDescent="0.3">
      <c r="B31" s="13" t="s">
        <v>118</v>
      </c>
      <c r="C31" s="13">
        <v>1080000</v>
      </c>
      <c r="D31" s="13" t="s">
        <v>119</v>
      </c>
      <c r="E31" s="13" t="s">
        <v>120</v>
      </c>
      <c r="F31" s="13">
        <v>61000</v>
      </c>
      <c r="G31" s="14" t="s">
        <v>121</v>
      </c>
      <c r="I31" s="20">
        <f t="shared" si="0"/>
        <v>1080000</v>
      </c>
      <c r="J31" s="20">
        <f t="shared" si="1"/>
        <v>1080000</v>
      </c>
      <c r="K31" s="20">
        <f t="shared" si="2"/>
        <v>1080000</v>
      </c>
      <c r="L31" s="20">
        <f t="shared" si="3"/>
        <v>1080000</v>
      </c>
      <c r="M31" s="20">
        <f t="shared" si="4"/>
        <v>61000</v>
      </c>
      <c r="N31" s="20">
        <f t="shared" si="5"/>
        <v>61000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BE60-C498-4C05-B4EC-B7F550A4EEAE}">
  <dimension ref="B1:V31"/>
  <sheetViews>
    <sheetView topLeftCell="E1" workbookViewId="0">
      <selection activeCell="P5" sqref="P5"/>
    </sheetView>
  </sheetViews>
  <sheetFormatPr defaultRowHeight="14.4" x14ac:dyDescent="0.3"/>
  <cols>
    <col min="2" max="2" width="22.109375" customWidth="1"/>
    <col min="4" max="4" width="17.5546875" customWidth="1"/>
    <col min="5" max="5" width="19.109375" customWidth="1"/>
    <col min="9" max="9" width="15.109375" customWidth="1"/>
    <col min="10" max="10" width="12.6640625" customWidth="1"/>
    <col min="11" max="11" width="13.77734375" customWidth="1"/>
    <col min="12" max="12" width="14.109375" customWidth="1"/>
    <col min="17" max="17" width="12.33203125" customWidth="1"/>
  </cols>
  <sheetData>
    <row r="1" spans="2:22" ht="43.2" x14ac:dyDescent="0.3"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I1" s="18" t="s">
        <v>150</v>
      </c>
      <c r="Q1" s="6" t="s">
        <v>151</v>
      </c>
    </row>
    <row r="2" spans="2:22" ht="28.8" x14ac:dyDescent="0.3">
      <c r="B2" s="9" t="s">
        <v>7</v>
      </c>
      <c r="C2" s="9">
        <v>850000</v>
      </c>
      <c r="D2" s="9" t="s">
        <v>8</v>
      </c>
      <c r="E2" s="9" t="s">
        <v>9</v>
      </c>
      <c r="F2" s="9">
        <v>45000</v>
      </c>
      <c r="G2" s="10" t="s">
        <v>10</v>
      </c>
      <c r="I2" t="str" cm="1">
        <f t="array" ref="I2:N13">_xlfn._xlws.FILTER(B2:G31,C2:C31&gt;1000000,"No Data")</f>
        <v>Reliance Industries</v>
      </c>
      <c r="J2">
        <v>1250000</v>
      </c>
      <c r="K2" t="str">
        <v>Electronics</v>
      </c>
      <c r="L2" t="str">
        <v>Amit Verma</v>
      </c>
      <c r="M2">
        <v>65000</v>
      </c>
      <c r="N2" t="str">
        <v>EMP102</v>
      </c>
      <c r="Q2" t="str" cm="1">
        <f t="array" ref="Q2:V3">_xlfn._xlws.FILTER(B2:G31,D2:D31="Cars","No Data")</f>
        <v>Tata Motors</v>
      </c>
      <c r="R2">
        <v>850000</v>
      </c>
      <c r="S2" t="str">
        <v>Cars</v>
      </c>
      <c r="T2" t="str">
        <v>Rahul Sharma</v>
      </c>
      <c r="U2">
        <v>45000</v>
      </c>
      <c r="V2" t="str">
        <v>EMP101</v>
      </c>
    </row>
    <row r="3" spans="2:22" ht="28.8" x14ac:dyDescent="0.3">
      <c r="B3" s="11" t="s">
        <v>11</v>
      </c>
      <c r="C3" s="11">
        <v>1250000</v>
      </c>
      <c r="D3" s="11" t="s">
        <v>12</v>
      </c>
      <c r="E3" s="11" t="s">
        <v>13</v>
      </c>
      <c r="F3" s="11">
        <v>65000</v>
      </c>
      <c r="G3" s="12" t="s">
        <v>14</v>
      </c>
      <c r="I3" t="str">
        <v>HDFC Bank</v>
      </c>
      <c r="J3">
        <v>1100000</v>
      </c>
      <c r="K3" t="str">
        <v>Banking Services</v>
      </c>
      <c r="L3" t="str">
        <v>Neha Patel</v>
      </c>
      <c r="M3">
        <v>60000</v>
      </c>
      <c r="N3" t="str">
        <v>EMP105</v>
      </c>
      <c r="Q3" t="str">
        <v>Maruti Suzuki</v>
      </c>
      <c r="R3">
        <v>1350000</v>
      </c>
      <c r="S3" t="str">
        <v>Cars</v>
      </c>
      <c r="T3" t="str">
        <v>Sneha Joshi</v>
      </c>
      <c r="U3">
        <v>70000</v>
      </c>
      <c r="V3" t="str">
        <v>EMP109</v>
      </c>
    </row>
    <row r="4" spans="2:22" ht="28.8" x14ac:dyDescent="0.3">
      <c r="B4" s="9" t="s">
        <v>15</v>
      </c>
      <c r="C4" s="9">
        <v>950000</v>
      </c>
      <c r="D4" s="9" t="s">
        <v>16</v>
      </c>
      <c r="E4" s="9" t="s">
        <v>17</v>
      </c>
      <c r="F4" s="9">
        <v>55000</v>
      </c>
      <c r="G4" s="10" t="s">
        <v>18</v>
      </c>
      <c r="I4" t="str">
        <v>Maruti Suzuki</v>
      </c>
      <c r="J4">
        <v>1350000</v>
      </c>
      <c r="K4" t="str">
        <v>Cars</v>
      </c>
      <c r="L4" t="str">
        <v>Sneha Joshi</v>
      </c>
      <c r="M4">
        <v>70000</v>
      </c>
      <c r="N4" t="str">
        <v>EMP109</v>
      </c>
    </row>
    <row r="5" spans="2:22" ht="28.8" x14ac:dyDescent="0.3">
      <c r="B5" s="11" t="s">
        <v>19</v>
      </c>
      <c r="C5" s="11">
        <v>780000</v>
      </c>
      <c r="D5" s="11" t="s">
        <v>20</v>
      </c>
      <c r="E5" s="11" t="s">
        <v>21</v>
      </c>
      <c r="F5" s="11">
        <v>48000</v>
      </c>
      <c r="G5" s="12" t="s">
        <v>22</v>
      </c>
      <c r="I5" t="str">
        <v>Hindustan Unilever</v>
      </c>
      <c r="J5">
        <v>1050000</v>
      </c>
      <c r="K5" t="str">
        <v>FMCG</v>
      </c>
      <c r="L5" t="str">
        <v>Arjun Malhotra</v>
      </c>
      <c r="M5">
        <v>58000</v>
      </c>
      <c r="N5" t="str">
        <v>EMP110</v>
      </c>
    </row>
    <row r="6" spans="2:22" ht="28.8" x14ac:dyDescent="0.3">
      <c r="B6" s="9" t="s">
        <v>23</v>
      </c>
      <c r="C6" s="9">
        <v>1100000</v>
      </c>
      <c r="D6" s="9" t="s">
        <v>24</v>
      </c>
      <c r="E6" s="9" t="s">
        <v>25</v>
      </c>
      <c r="F6" s="9">
        <v>60000</v>
      </c>
      <c r="G6" s="10" t="s">
        <v>26</v>
      </c>
      <c r="I6" t="str">
        <v>Larsen &amp; Toubro</v>
      </c>
      <c r="J6">
        <v>1150000</v>
      </c>
      <c r="K6" t="str">
        <v>Construction</v>
      </c>
      <c r="L6" t="str">
        <v>Simran Kaur</v>
      </c>
      <c r="M6">
        <v>57000</v>
      </c>
      <c r="N6" t="str">
        <v>EMP113</v>
      </c>
    </row>
    <row r="7" spans="2:22" ht="28.8" x14ac:dyDescent="0.3">
      <c r="B7" s="11" t="s">
        <v>27</v>
      </c>
      <c r="C7" s="11">
        <v>920000</v>
      </c>
      <c r="D7" s="11" t="s">
        <v>28</v>
      </c>
      <c r="E7" s="11" t="s">
        <v>29</v>
      </c>
      <c r="F7" s="11">
        <v>52000</v>
      </c>
      <c r="G7" s="12" t="s">
        <v>30</v>
      </c>
      <c r="I7" t="str">
        <v>Adani Enterprises</v>
      </c>
      <c r="J7">
        <v>1450000</v>
      </c>
      <c r="K7" t="str">
        <v>Infrastructure</v>
      </c>
      <c r="L7" t="str">
        <v>Manish Jain</v>
      </c>
      <c r="M7">
        <v>75000</v>
      </c>
      <c r="N7" t="str">
        <v>EMP114</v>
      </c>
    </row>
    <row r="8" spans="2:22" ht="28.8" x14ac:dyDescent="0.3">
      <c r="B8" s="9" t="s">
        <v>31</v>
      </c>
      <c r="C8" s="9">
        <v>680000</v>
      </c>
      <c r="D8" s="9" t="s">
        <v>32</v>
      </c>
      <c r="E8" s="9" t="s">
        <v>33</v>
      </c>
      <c r="F8" s="9">
        <v>42000</v>
      </c>
      <c r="G8" s="10" t="s">
        <v>34</v>
      </c>
      <c r="I8" t="str">
        <v>Flipkart</v>
      </c>
      <c r="J8">
        <v>1200000</v>
      </c>
      <c r="K8" t="str">
        <v>E-commerce</v>
      </c>
      <c r="L8" t="str">
        <v>Varun Sethi</v>
      </c>
      <c r="M8">
        <v>68000</v>
      </c>
      <c r="N8" t="str">
        <v>EMP118</v>
      </c>
    </row>
    <row r="9" spans="2:22" ht="28.8" x14ac:dyDescent="0.3">
      <c r="B9" s="11" t="s">
        <v>35</v>
      </c>
      <c r="C9" s="11">
        <v>720000</v>
      </c>
      <c r="D9" s="11" t="s">
        <v>36</v>
      </c>
      <c r="E9" s="11" t="s">
        <v>37</v>
      </c>
      <c r="F9" s="11">
        <v>46000</v>
      </c>
      <c r="G9" s="12" t="s">
        <v>38</v>
      </c>
      <c r="I9" t="str">
        <v>Amazon India</v>
      </c>
      <c r="J9">
        <v>1550000</v>
      </c>
      <c r="K9" t="str">
        <v>Online Retail</v>
      </c>
      <c r="L9" t="str">
        <v>Tanya Roy</v>
      </c>
      <c r="M9">
        <v>80000</v>
      </c>
      <c r="N9" t="str">
        <v>EMP119</v>
      </c>
    </row>
    <row r="10" spans="2:22" ht="28.8" x14ac:dyDescent="0.3">
      <c r="B10" s="9" t="s">
        <v>39</v>
      </c>
      <c r="C10" s="9">
        <v>1350000</v>
      </c>
      <c r="D10" s="9" t="s">
        <v>8</v>
      </c>
      <c r="E10" s="9" t="s">
        <v>40</v>
      </c>
      <c r="F10" s="9">
        <v>70000</v>
      </c>
      <c r="G10" s="10" t="s">
        <v>41</v>
      </c>
      <c r="I10" t="str">
        <v>Samsung India</v>
      </c>
      <c r="J10">
        <v>1300000</v>
      </c>
      <c r="K10" t="str">
        <v>Smartphones</v>
      </c>
      <c r="L10" t="str">
        <v>Akash Thakur</v>
      </c>
      <c r="M10">
        <v>72000</v>
      </c>
      <c r="N10" t="str">
        <v>EMP120</v>
      </c>
    </row>
    <row r="11" spans="2:22" ht="28.8" x14ac:dyDescent="0.3">
      <c r="B11" s="11" t="s">
        <v>42</v>
      </c>
      <c r="C11" s="11">
        <v>1050000</v>
      </c>
      <c r="D11" s="11" t="s">
        <v>43</v>
      </c>
      <c r="E11" s="11" t="s">
        <v>44</v>
      </c>
      <c r="F11" s="11">
        <v>58000</v>
      </c>
      <c r="G11" s="12" t="s">
        <v>45</v>
      </c>
      <c r="I11" t="str">
        <v>Apple India</v>
      </c>
      <c r="J11">
        <v>1600000</v>
      </c>
      <c r="K11" t="str">
        <v>Smartphones</v>
      </c>
      <c r="L11" t="str">
        <v>Meera Nair</v>
      </c>
      <c r="M11">
        <v>85000</v>
      </c>
      <c r="N11" t="str">
        <v>EMP121</v>
      </c>
    </row>
    <row r="12" spans="2:22" ht="28.8" x14ac:dyDescent="0.3">
      <c r="B12" s="9" t="s">
        <v>46</v>
      </c>
      <c r="C12" s="9">
        <v>890000</v>
      </c>
      <c r="D12" s="9" t="s">
        <v>47</v>
      </c>
      <c r="E12" s="9" t="s">
        <v>48</v>
      </c>
      <c r="F12" s="9">
        <v>51000</v>
      </c>
      <c r="G12" s="10" t="s">
        <v>49</v>
      </c>
      <c r="I12" t="str">
        <v>Indigo Airlines</v>
      </c>
      <c r="J12">
        <v>1400000</v>
      </c>
      <c r="K12" t="str">
        <v>Air Travel</v>
      </c>
      <c r="L12" t="str">
        <v>Isha Malhotra</v>
      </c>
      <c r="M12">
        <v>74000</v>
      </c>
      <c r="N12" t="str">
        <v>EMP129</v>
      </c>
    </row>
    <row r="13" spans="2:22" ht="28.8" x14ac:dyDescent="0.3">
      <c r="B13" s="11" t="s">
        <v>50</v>
      </c>
      <c r="C13" s="11">
        <v>980000</v>
      </c>
      <c r="D13" s="11" t="s">
        <v>51</v>
      </c>
      <c r="E13" s="11" t="s">
        <v>52</v>
      </c>
      <c r="F13" s="11">
        <v>62000</v>
      </c>
      <c r="G13" s="12" t="s">
        <v>53</v>
      </c>
      <c r="I13" t="str">
        <v>UltraTech Cement</v>
      </c>
      <c r="J13">
        <v>1080000</v>
      </c>
      <c r="K13" t="str">
        <v>Cement</v>
      </c>
      <c r="L13" t="str">
        <v>Gaurav Singh</v>
      </c>
      <c r="M13">
        <v>61000</v>
      </c>
      <c r="N13" t="str">
        <v>EMP130</v>
      </c>
    </row>
    <row r="14" spans="2:22" x14ac:dyDescent="0.3">
      <c r="B14" s="9" t="s">
        <v>54</v>
      </c>
      <c r="C14" s="9">
        <v>1150000</v>
      </c>
      <c r="D14" s="9" t="s">
        <v>55</v>
      </c>
      <c r="E14" s="9" t="s">
        <v>56</v>
      </c>
      <c r="F14" s="9">
        <v>57000</v>
      </c>
      <c r="G14" s="10" t="s">
        <v>57</v>
      </c>
    </row>
    <row r="15" spans="2:22" x14ac:dyDescent="0.3">
      <c r="B15" s="11" t="s">
        <v>58</v>
      </c>
      <c r="C15" s="11">
        <v>1450000</v>
      </c>
      <c r="D15" s="11" t="s">
        <v>59</v>
      </c>
      <c r="E15" s="11" t="s">
        <v>60</v>
      </c>
      <c r="F15" s="11">
        <v>75000</v>
      </c>
      <c r="G15" s="12" t="s">
        <v>61</v>
      </c>
    </row>
    <row r="16" spans="2:22" x14ac:dyDescent="0.3">
      <c r="B16" s="9" t="s">
        <v>62</v>
      </c>
      <c r="C16" s="9">
        <v>820000</v>
      </c>
      <c r="D16" s="9" t="s">
        <v>63</v>
      </c>
      <c r="E16" s="9" t="s">
        <v>64</v>
      </c>
      <c r="F16" s="9">
        <v>49000</v>
      </c>
      <c r="G16" s="10" t="s">
        <v>65</v>
      </c>
    </row>
    <row r="17" spans="2:7" x14ac:dyDescent="0.3">
      <c r="B17" s="11" t="s">
        <v>66</v>
      </c>
      <c r="C17" s="11">
        <v>650000</v>
      </c>
      <c r="D17" s="11" t="s">
        <v>67</v>
      </c>
      <c r="E17" s="11" t="s">
        <v>68</v>
      </c>
      <c r="F17" s="11">
        <v>40000</v>
      </c>
      <c r="G17" s="12" t="s">
        <v>69</v>
      </c>
    </row>
    <row r="18" spans="2:7" x14ac:dyDescent="0.3">
      <c r="B18" s="9" t="s">
        <v>70</v>
      </c>
      <c r="C18" s="9">
        <v>710000</v>
      </c>
      <c r="D18" s="9" t="s">
        <v>67</v>
      </c>
      <c r="E18" s="9" t="s">
        <v>71</v>
      </c>
      <c r="F18" s="9">
        <v>43000</v>
      </c>
      <c r="G18" s="10" t="s">
        <v>72</v>
      </c>
    </row>
    <row r="19" spans="2:7" x14ac:dyDescent="0.3">
      <c r="B19" s="11" t="s">
        <v>73</v>
      </c>
      <c r="C19" s="11">
        <v>1200000</v>
      </c>
      <c r="D19" s="11" t="s">
        <v>74</v>
      </c>
      <c r="E19" s="11" t="s">
        <v>75</v>
      </c>
      <c r="F19" s="11">
        <v>68000</v>
      </c>
      <c r="G19" s="12" t="s">
        <v>76</v>
      </c>
    </row>
    <row r="20" spans="2:7" x14ac:dyDescent="0.3">
      <c r="B20" s="9" t="s">
        <v>77</v>
      </c>
      <c r="C20" s="9">
        <v>1550000</v>
      </c>
      <c r="D20" s="9" t="s">
        <v>78</v>
      </c>
      <c r="E20" s="9" t="s">
        <v>79</v>
      </c>
      <c r="F20" s="9">
        <v>80000</v>
      </c>
      <c r="G20" s="10" t="s">
        <v>80</v>
      </c>
    </row>
    <row r="21" spans="2:7" x14ac:dyDescent="0.3">
      <c r="B21" s="11" t="s">
        <v>81</v>
      </c>
      <c r="C21" s="11">
        <v>1300000</v>
      </c>
      <c r="D21" s="11" t="s">
        <v>82</v>
      </c>
      <c r="E21" s="11" t="s">
        <v>83</v>
      </c>
      <c r="F21" s="11">
        <v>72000</v>
      </c>
      <c r="G21" s="12" t="s">
        <v>84</v>
      </c>
    </row>
    <row r="22" spans="2:7" x14ac:dyDescent="0.3">
      <c r="B22" s="9" t="s">
        <v>85</v>
      </c>
      <c r="C22" s="9">
        <v>1600000</v>
      </c>
      <c r="D22" s="9" t="s">
        <v>82</v>
      </c>
      <c r="E22" s="9" t="s">
        <v>86</v>
      </c>
      <c r="F22" s="9">
        <v>85000</v>
      </c>
      <c r="G22" s="10" t="s">
        <v>87</v>
      </c>
    </row>
    <row r="23" spans="2:7" x14ac:dyDescent="0.3">
      <c r="B23" s="11" t="s">
        <v>88</v>
      </c>
      <c r="C23" s="11">
        <v>870000</v>
      </c>
      <c r="D23" s="11" t="s">
        <v>89</v>
      </c>
      <c r="E23" s="11" t="s">
        <v>90</v>
      </c>
      <c r="F23" s="11">
        <v>47000</v>
      </c>
      <c r="G23" s="12" t="s">
        <v>91</v>
      </c>
    </row>
    <row r="24" spans="2:7" x14ac:dyDescent="0.3">
      <c r="B24" s="9" t="s">
        <v>92</v>
      </c>
      <c r="C24" s="9">
        <v>760000</v>
      </c>
      <c r="D24" s="9" t="s">
        <v>93</v>
      </c>
      <c r="E24" s="9" t="s">
        <v>94</v>
      </c>
      <c r="F24" s="9">
        <v>44000</v>
      </c>
      <c r="G24" s="10" t="s">
        <v>95</v>
      </c>
    </row>
    <row r="25" spans="2:7" x14ac:dyDescent="0.3">
      <c r="B25" s="11" t="s">
        <v>96</v>
      </c>
      <c r="C25" s="11">
        <v>690000</v>
      </c>
      <c r="D25" s="11" t="s">
        <v>97</v>
      </c>
      <c r="E25" s="11" t="s">
        <v>98</v>
      </c>
      <c r="F25" s="11">
        <v>50000</v>
      </c>
      <c r="G25" s="12" t="s">
        <v>99</v>
      </c>
    </row>
    <row r="26" spans="2:7" x14ac:dyDescent="0.3">
      <c r="B26" s="9" t="s">
        <v>100</v>
      </c>
      <c r="C26" s="9">
        <v>740000</v>
      </c>
      <c r="D26" s="9" t="s">
        <v>101</v>
      </c>
      <c r="E26" s="9" t="s">
        <v>102</v>
      </c>
      <c r="F26" s="9">
        <v>41000</v>
      </c>
      <c r="G26" s="10" t="s">
        <v>103</v>
      </c>
    </row>
    <row r="27" spans="2:7" x14ac:dyDescent="0.3">
      <c r="B27" s="11" t="s">
        <v>104</v>
      </c>
      <c r="C27" s="11">
        <v>990000</v>
      </c>
      <c r="D27" s="11" t="s">
        <v>32</v>
      </c>
      <c r="E27" s="11" t="s">
        <v>105</v>
      </c>
      <c r="F27" s="11">
        <v>56000</v>
      </c>
      <c r="G27" s="12" t="s">
        <v>106</v>
      </c>
    </row>
    <row r="28" spans="2:7" x14ac:dyDescent="0.3">
      <c r="B28" s="9" t="s">
        <v>107</v>
      </c>
      <c r="C28" s="9">
        <v>580000</v>
      </c>
      <c r="D28" s="9" t="s">
        <v>108</v>
      </c>
      <c r="E28" s="9" t="s">
        <v>109</v>
      </c>
      <c r="F28" s="9">
        <v>39000</v>
      </c>
      <c r="G28" s="10" t="s">
        <v>110</v>
      </c>
    </row>
    <row r="29" spans="2:7" x14ac:dyDescent="0.3">
      <c r="B29" s="11" t="s">
        <v>111</v>
      </c>
      <c r="C29" s="11">
        <v>830000</v>
      </c>
      <c r="D29" s="11" t="s">
        <v>108</v>
      </c>
      <c r="E29" s="11" t="s">
        <v>112</v>
      </c>
      <c r="F29" s="11">
        <v>53000</v>
      </c>
      <c r="G29" s="12" t="s">
        <v>113</v>
      </c>
    </row>
    <row r="30" spans="2:7" x14ac:dyDescent="0.3">
      <c r="B30" s="9" t="s">
        <v>114</v>
      </c>
      <c r="C30" s="9">
        <v>1400000</v>
      </c>
      <c r="D30" s="9" t="s">
        <v>115</v>
      </c>
      <c r="E30" s="9" t="s">
        <v>116</v>
      </c>
      <c r="F30" s="9">
        <v>74000</v>
      </c>
      <c r="G30" s="10" t="s">
        <v>117</v>
      </c>
    </row>
    <row r="31" spans="2:7" x14ac:dyDescent="0.3">
      <c r="B31" s="13" t="s">
        <v>118</v>
      </c>
      <c r="C31" s="13">
        <v>1080000</v>
      </c>
      <c r="D31" s="13" t="s">
        <v>119</v>
      </c>
      <c r="E31" s="13" t="s">
        <v>120</v>
      </c>
      <c r="F31" s="13">
        <v>61000</v>
      </c>
      <c r="G31" s="1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conditional aggregations</vt:lpstr>
      <vt:lpstr>index  match</vt:lpstr>
      <vt:lpstr>TEXT</vt:lpstr>
      <vt:lpstr>indirect  offset</vt:lpstr>
      <vt:lpstr>math function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CHAUDHARY Chaudhary</dc:creator>
  <cp:lastModifiedBy>Hitesh CHAUDHARY Chaudhary</cp:lastModifiedBy>
  <dcterms:created xsi:type="dcterms:W3CDTF">2026-10-28T15:01:19Z</dcterms:created>
  <dcterms:modified xsi:type="dcterms:W3CDTF">2026-10-30T11:14:34Z</dcterms:modified>
</cp:coreProperties>
</file>